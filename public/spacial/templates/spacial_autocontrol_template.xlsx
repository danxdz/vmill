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rome-my.sharepoint.com/personal/pedro_gomes_elynxo_fr/Documents/Bureau/"/>
    </mc:Choice>
  </mc:AlternateContent>
  <xr:revisionPtr revIDLastSave="0" documentId="8_{EE2767B4-5BE2-43DD-85FD-02F68EF6E4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V" sheetId="2" r:id="rId1"/>
    <sheet name=" TCN OP 1-2-3" sheetId="7" r:id="rId2"/>
    <sheet name="APRES RECTIF" sheetId="6" r:id="rId3"/>
    <sheet name="Data" sheetId="4" r:id="rId4"/>
    <sheet name="MD" sheetId="3" r:id="rId5"/>
  </sheets>
  <externalReferences>
    <externalReference r:id="rId6"/>
    <externalReference r:id="rId7"/>
  </externalReferences>
  <definedNames>
    <definedName name="ART.DES" localSheetId="1">' TCN OP 1-2-3'!$D$4</definedName>
    <definedName name="ART.DES" localSheetId="2">'APRES RECTIF'!$D$4</definedName>
    <definedName name="ART.DES">PV!$D$4</definedName>
    <definedName name="BF.REF" localSheetId="1">' TCN OP 1-2-3'!$D$2</definedName>
    <definedName name="BF.REF" localSheetId="2">'APRES RECTIF'!$D$2</definedName>
    <definedName name="BF.REF">PV!$D$2</definedName>
    <definedName name="BF.SREF1" localSheetId="1">' TCN OP 1-2-3'!$D$3</definedName>
    <definedName name="BF.SREF1" localSheetId="2">'APRES RECTIF'!$D$3</definedName>
    <definedName name="BF.SREF1">PV!$D$3</definedName>
    <definedName name="BF.SREF2" localSheetId="1">' TCN OP 1-2-3'!$E$3</definedName>
    <definedName name="BF.SREF2" localSheetId="2">'APRES RECTIF'!$E$3</definedName>
    <definedName name="BF.SREF2">PV!$E$3</definedName>
    <definedName name="Date_fichier">[1]Administration!$B$6</definedName>
    <definedName name="Gestion_Stock_Articles">[1]Data!$I$2:$I$5</definedName>
    <definedName name="_xlnm.Print_Titles" localSheetId="1">' TCN OP 1-2-3'!$7:$8</definedName>
    <definedName name="_xlnm.Print_Titles" localSheetId="2">'APRES RECTIF'!$13:$14</definedName>
    <definedName name="_xlnm.Print_Titles" localSheetId="0">PV!$13:$14</definedName>
    <definedName name="Liste_Moyens">Data!$A$2:$A$7</definedName>
    <definedName name="Liste_Opérations">[2]Data!$A$2:$A$7</definedName>
    <definedName name="Nature_Articles">[1]Data!$E$2:$E$6</definedName>
    <definedName name="Product_name">[1]Administration!$B$3</definedName>
    <definedName name="Ref_Fichier">[1]Administration!$B$5</definedName>
    <definedName name="Ref_Produit">[1]Administration!$B$2</definedName>
    <definedName name="Rev_Fichier">[1]Administration!$B$4</definedName>
    <definedName name="Taux_Horaire_Méthodes">[2]Data!$C$2</definedName>
    <definedName name="Taux_Horaire_Prod">[2]Data!$B$2</definedName>
    <definedName name="Type_Article">[1]Data!$A$2:$A$14</definedName>
    <definedName name="Unité_Articles">[1]Data!$G$2:$G$4</definedName>
    <definedName name="_xlnm.Print_Area" localSheetId="1">' TCN OP 1-2-3'!$A$1:$S$48</definedName>
    <definedName name="_xlnm.Print_Area" localSheetId="2">'APRES RECTIF'!$A$1:$P$29</definedName>
    <definedName name="_xlnm.Print_Area" localSheetId="0">PV!$A$1:$U$57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" i="2" l="1"/>
  <c r="D19" i="2"/>
  <c r="E39" i="2"/>
  <c r="E9" i="7" l="1"/>
  <c r="D9" i="7"/>
  <c r="E39" i="7"/>
  <c r="E34" i="7"/>
  <c r="D34" i="7"/>
  <c r="D27" i="7"/>
  <c r="D26" i="7"/>
  <c r="D21" i="7"/>
  <c r="E21" i="7"/>
  <c r="E20" i="7"/>
  <c r="D20" i="7"/>
  <c r="E15" i="7"/>
  <c r="D15" i="7"/>
  <c r="E10" i="7"/>
  <c r="D10" i="7"/>
  <c r="E11" i="7"/>
  <c r="E47" i="2"/>
  <c r="D47" i="2"/>
  <c r="E38" i="2"/>
  <c r="D38" i="2"/>
  <c r="E37" i="2"/>
  <c r="D37" i="2"/>
  <c r="D27" i="2"/>
  <c r="D26" i="2"/>
  <c r="E25" i="2"/>
  <c r="D25" i="2"/>
  <c r="E24" i="2"/>
  <c r="D24" i="2"/>
  <c r="E22" i="2"/>
  <c r="D22" i="2"/>
  <c r="E21" i="2"/>
  <c r="D21" i="2"/>
  <c r="D20" i="2"/>
  <c r="E20" i="2"/>
  <c r="E18" i="2"/>
  <c r="E16" i="2"/>
  <c r="D16" i="2"/>
  <c r="E15" i="2"/>
  <c r="D15" i="2"/>
  <c r="E48" i="7"/>
  <c r="D48" i="7"/>
  <c r="E47" i="7"/>
  <c r="D47" i="7"/>
  <c r="E46" i="7"/>
  <c r="D46" i="7"/>
  <c r="A46" i="7"/>
  <c r="A47" i="7" s="1"/>
  <c r="A48" i="7" s="1"/>
  <c r="E45" i="7"/>
  <c r="D45" i="7"/>
  <c r="E19" i="6"/>
  <c r="E33" i="2"/>
  <c r="E36" i="2"/>
  <c r="D36" i="2"/>
  <c r="E46" i="2"/>
  <c r="D46" i="2"/>
  <c r="E45" i="2"/>
  <c r="D45" i="2"/>
  <c r="E44" i="2"/>
  <c r="D44" i="2"/>
  <c r="E43" i="2"/>
  <c r="D43" i="2"/>
  <c r="A44" i="2"/>
  <c r="A45" i="2" s="1"/>
  <c r="A46" i="2" s="1"/>
  <c r="E42" i="2"/>
  <c r="D42" i="2"/>
  <c r="E41" i="2"/>
  <c r="D41" i="2"/>
  <c r="E40" i="2"/>
  <c r="D40" i="2"/>
  <c r="A40" i="2"/>
  <c r="A41" i="2" s="1"/>
  <c r="A42" i="2" s="1"/>
  <c r="D39" i="2"/>
  <c r="E23" i="7"/>
  <c r="E33" i="7"/>
  <c r="D33" i="7"/>
  <c r="E26" i="2"/>
  <c r="E26" i="7"/>
  <c r="E25" i="7"/>
  <c r="D25" i="7"/>
  <c r="D23" i="7"/>
  <c r="E22" i="7"/>
  <c r="D22" i="7"/>
  <c r="E40" i="7"/>
  <c r="D40" i="7"/>
  <c r="D39" i="7"/>
  <c r="A21" i="7"/>
  <c r="A22" i="7" s="1"/>
  <c r="A23" i="7" s="1"/>
  <c r="A24" i="7" s="1"/>
  <c r="A25" i="7" s="1"/>
  <c r="A26" i="7" s="1"/>
  <c r="A27" i="7" s="1"/>
  <c r="A28" i="7" s="1"/>
  <c r="E32" i="7"/>
  <c r="D32" i="7"/>
  <c r="A32" i="7"/>
  <c r="A33" i="7" s="1"/>
  <c r="E31" i="7"/>
  <c r="D31" i="7"/>
  <c r="E30" i="7"/>
  <c r="D30" i="7"/>
  <c r="E29" i="7"/>
  <c r="D29" i="7"/>
  <c r="E28" i="7"/>
  <c r="D28" i="7"/>
  <c r="E27" i="7"/>
  <c r="E13" i="7"/>
  <c r="D13" i="7"/>
  <c r="E12" i="7" l="1"/>
  <c r="D12" i="7"/>
  <c r="D11" i="7"/>
  <c r="A21" i="6"/>
  <c r="D19" i="6"/>
  <c r="E18" i="6"/>
  <c r="D18" i="6"/>
  <c r="E17" i="6"/>
  <c r="D17" i="6"/>
  <c r="E16" i="6"/>
  <c r="D16" i="6"/>
  <c r="E15" i="6"/>
  <c r="D15" i="6"/>
  <c r="D33" i="2"/>
  <c r="E30" i="2"/>
  <c r="D30" i="2"/>
  <c r="E28" i="2"/>
  <c r="D28" i="2"/>
  <c r="E27" i="2"/>
  <c r="E29" i="2"/>
  <c r="E31" i="2"/>
  <c r="E32" i="2"/>
  <c r="E35" i="2"/>
  <c r="D29" i="2"/>
  <c r="D31" i="2"/>
  <c r="D32" i="2"/>
  <c r="D35" i="2"/>
  <c r="D18" i="2"/>
  <c r="A32" i="2" l="1"/>
  <c r="A16" i="2"/>
  <c r="A18" i="2" s="1"/>
  <c r="A19" i="2" s="1"/>
  <c r="A20" i="2" s="1"/>
  <c r="A21" i="2" s="1"/>
  <c r="A22" i="2" s="1"/>
  <c r="A24" i="2" s="1"/>
  <c r="A25" i="2" s="1"/>
  <c r="A26" i="2" s="1"/>
  <c r="A27" i="2" s="1"/>
  <c r="A28" i="2" s="1"/>
  <c r="A3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Soleille</author>
  </authors>
  <commentList>
    <comment ref="D2" authorId="0" shapeId="0" xr:uid="{C1F90F94-05CF-4CB8-AB67-C75EBB472C4A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2" authorId="0" shapeId="0" xr:uid="{E026B669-CEBE-497E-A04E-2930600046AC}">
      <text>
        <r>
          <rPr>
            <b/>
            <sz val="9"/>
            <color indexed="81"/>
            <rFont val="Tahoma"/>
            <family val="2"/>
          </rPr>
          <t>Renseigné par Divalto à terme</t>
        </r>
      </text>
    </comment>
    <comment ref="S2" authorId="0" shapeId="0" xr:uid="{34760D32-F98B-4B2B-89B8-195FD77D1134}">
      <text>
        <r>
          <rPr>
            <b/>
            <sz val="9"/>
            <color indexed="81"/>
            <rFont val="Tahoma"/>
            <family val="2"/>
          </rPr>
          <t xml:space="preserve">Quantité commandée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= Quantité commandée par le client dont le lot complet fait l'objet du contrôle
</t>
        </r>
        <r>
          <rPr>
            <b/>
            <u/>
            <sz val="9"/>
            <color indexed="81"/>
            <rFont val="Tahoma"/>
            <family val="2"/>
          </rPr>
          <t>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= Quantité commandée au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D3" authorId="0" shapeId="0" xr:uid="{FBCBB8C9-E457-413D-B0A6-EEB8E6731FD3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3" authorId="0" shapeId="0" xr:uid="{7D8FC36A-B61F-449E-8C06-78328017F40D}">
      <text>
        <r>
          <rPr>
            <b/>
            <sz val="9"/>
            <color indexed="81"/>
            <rFont val="Tahoma"/>
            <family val="2"/>
          </rPr>
          <t>Renseigné par Divalto à terme</t>
        </r>
      </text>
    </comment>
    <comment ref="S3" authorId="0" shapeId="0" xr:uid="{6BA131A8-86B8-4332-9F98-4127B63BF8DC}">
      <text>
        <r>
          <rPr>
            <b/>
            <sz val="9"/>
            <color indexed="81"/>
            <rFont val="Tahoma"/>
            <family val="2"/>
          </rPr>
          <t xml:space="preserve">Quantité reçue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Sans objet --&gt; </t>
        </r>
        <r>
          <rPr>
            <b/>
            <u/>
            <sz val="9"/>
            <color indexed="81"/>
            <rFont val="Tahoma"/>
            <family val="2"/>
          </rPr>
          <t>indiquer N/A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= Quantité reçue du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D4" authorId="0" shapeId="0" xr:uid="{1D69E521-AB6B-4D02-836F-77A60B8E2327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4" authorId="0" shapeId="0" xr:uid="{429E10F2-C972-4007-BDC5-48FDCEDDD173}">
      <text>
        <r>
          <rPr>
            <b/>
            <sz val="9"/>
            <color indexed="81"/>
            <rFont val="Tahoma"/>
            <family val="2"/>
          </rPr>
          <t xml:space="preserve">Numéro de dérogation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Cas du contrôle d'une réception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S4" authorId="0" shapeId="0" xr:uid="{35B828FB-5987-4AF4-92F7-8AB1C57981B3}">
      <text>
        <r>
          <rPr>
            <b/>
            <sz val="9"/>
            <color indexed="81"/>
            <rFont val="Tahoma"/>
            <family val="2"/>
          </rPr>
          <t xml:space="preserve">Quantité de pièces contrôlée dans le lot global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Doit être cohérent des exigences clients : taux d'échantillonnage, etc…
</t>
        </r>
        <r>
          <rPr>
            <b/>
            <u/>
            <sz val="9"/>
            <color indexed="81"/>
            <rFont val="Tahoma"/>
            <family val="2"/>
          </rPr>
          <t xml:space="preserve">
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Doit être cohérent des règles de contrôle internes (plan de contrôle interne) : taux d'échantillonnage, etc....</t>
        </r>
      </text>
    </comment>
    <comment ref="E7" authorId="0" shapeId="0" xr:uid="{585E6DB5-9B30-4EA5-A2FE-BE31E03497B8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7" authorId="0" shapeId="0" xr:uid="{B3C6976D-464D-41A2-B042-E8B3BDD845BB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7" authorId="0" shapeId="0" xr:uid="{CDBC9ACD-FD33-432B-898A-5E81D3403CF6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7" authorId="0" shapeId="0" xr:uid="{42712617-0D97-4C83-81C3-5DB4FBF84B3E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E8" authorId="0" shapeId="0" xr:uid="{FBE26020-7DBC-41A1-B5CA-BF7998F05641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8" authorId="0" shapeId="0" xr:uid="{DDE42C73-8265-452F-9AE9-8181534E04F4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8" authorId="0" shapeId="0" xr:uid="{E74F9798-704B-4DF2-BD9A-CC5879FB9F18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8" authorId="0" shapeId="0" xr:uid="{8AFEF8C4-BB7B-4600-BA7F-2EF5135A396E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E9" authorId="0" shapeId="0" xr:uid="{D442C142-2EB1-4CC7-96BF-F404E1CA4202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9" authorId="0" shapeId="0" xr:uid="{0FEDA520-1CBE-431A-A8F9-8103B6999374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9" authorId="0" shapeId="0" xr:uid="{3B6DD612-A46C-4E23-B9EF-10BF64F011FE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9" authorId="0" shapeId="0" xr:uid="{C8BF0224-9449-4296-8231-2E612E93E3DD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E10" authorId="0" shapeId="0" xr:uid="{087151C5-098F-4CB1-AAB8-E7798AEA86E9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10" authorId="0" shapeId="0" xr:uid="{85F9EDDB-9568-4204-902B-4B9682C68A27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10" authorId="0" shapeId="0" xr:uid="{71A85354-BA02-4B40-BA0B-94938C47AAE1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10" authorId="0" shapeId="0" xr:uid="{1E8329FC-9AC2-434A-956F-EC046CB85EB1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E11" authorId="0" shapeId="0" xr:uid="{552B4F90-1E50-4137-B52A-040B5385CA31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11" authorId="0" shapeId="0" xr:uid="{3D1BBD47-1B55-400B-B8C6-ECF1823DBCCB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11" authorId="0" shapeId="0" xr:uid="{C38235A9-2034-47D5-BC93-CD6C5891BB85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11" authorId="0" shapeId="0" xr:uid="{8DADB9D6-4430-4DD9-B556-7F40C958FBD9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A14" authorId="0" shapeId="0" xr:uid="{FA069BFF-B7F3-447A-8E8F-90E580FAB3B9}">
      <text>
        <r>
          <rPr>
            <b/>
            <sz val="9"/>
            <color indexed="81"/>
            <rFont val="Tahoma"/>
            <family val="2"/>
          </rPr>
          <t xml:space="preserve">Référence de la cote sur le plan (Numéro à mettre sur le plan ou autre système propre au client)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C14" authorId="0" shapeId="0" xr:uid="{0746A3A9-5C9B-4155-A4BA-FEAC3E51EA72}">
      <text>
        <r>
          <rPr>
            <b/>
            <sz val="9"/>
            <color indexed="81"/>
            <rFont val="Tahoma"/>
            <family val="2"/>
          </rPr>
          <t xml:space="preserve">Valeur nominale de la cote à contrôler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D14" authorId="0" shapeId="0" xr:uid="{0C40E685-EAB0-4F9C-BD22-12B5C34C9A10}">
      <text>
        <r>
          <rPr>
            <b/>
            <sz val="9"/>
            <color indexed="81"/>
            <rFont val="Tahoma"/>
            <family val="2"/>
          </rPr>
          <t xml:space="preserve">Valeur mini autorisée pour la cote à contrôlée
= Valeur nominale - Tolérance basse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E14" authorId="0" shapeId="0" xr:uid="{EC9EB1B7-E95E-41E6-89FE-2463E6542823}">
      <text>
        <r>
          <rPr>
            <b/>
            <sz val="9"/>
            <color indexed="81"/>
            <rFont val="Tahoma"/>
            <family val="2"/>
          </rPr>
          <t xml:space="preserve">Valeur maxi autorisée pour la cote à contrôlée
= Valeur nominale + Tolérance haute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F14" authorId="0" shapeId="0" xr:uid="{D8C9B239-F336-44F1-AC1D-BB4D4DB60BD6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G14" authorId="0" shapeId="0" xr:uid="{5F415865-724A-468F-A4DE-D0E844249826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H14" authorId="0" shapeId="0" xr:uid="{AD049169-BDB7-4AD2-8ECC-DC1C6B232BED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I14" authorId="0" shapeId="0" xr:uid="{0C11329B-3D33-4E45-8645-3CDEF08E3789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J14" authorId="0" shapeId="0" xr:uid="{C087638E-8D4D-4519-8C9D-98F4D20F06A0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P14" authorId="0" shapeId="0" xr:uid="{8DE8EBBB-869D-479A-A5BD-0BF5A94EC3C1}">
      <text>
        <r>
          <rPr>
            <b/>
            <sz val="9"/>
            <color indexed="81"/>
            <rFont val="Tahoma"/>
            <family val="2"/>
          </rPr>
          <t xml:space="preserve">Type d’instrument de contrôle à utiliser
A renseigner </t>
        </r>
        <r>
          <rPr>
            <b/>
            <u/>
            <sz val="9"/>
            <color indexed="81"/>
            <rFont val="Tahoma"/>
            <family val="2"/>
          </rPr>
          <t>informatiquement à partir de la liste déoulante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R14" authorId="0" shapeId="0" xr:uid="{1F92861F-E943-4850-B7C2-22735494595D}">
      <text>
        <r>
          <rPr>
            <b/>
            <sz val="9"/>
            <color indexed="81"/>
            <rFont val="Tahoma"/>
            <family val="2"/>
          </rPr>
          <t>Identifiant unique du moyen de contrôle utilisé
A renseigner manuellement par le contrôleur au moment de la réalisation du contrôle du lot de pièces</t>
        </r>
      </text>
    </comment>
    <comment ref="S14" authorId="0" shapeId="0" xr:uid="{05D0276E-0916-44C8-856E-6B68F2C67244}">
      <text>
        <r>
          <rPr>
            <b/>
            <sz val="9"/>
            <color indexed="81"/>
            <rFont val="Tahoma"/>
            <family val="2"/>
          </rPr>
          <t xml:space="preserve">Trigramme de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T14" authorId="0" shapeId="0" xr:uid="{2A983D2F-0870-49CE-B655-A28E62B5942A}">
      <text>
        <r>
          <rPr>
            <b/>
            <sz val="9"/>
            <color indexed="81"/>
            <rFont val="Tahoma"/>
            <family val="2"/>
          </rPr>
          <t xml:space="preserve">Date de réalisation du contrôle par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U14" authorId="0" shapeId="0" xr:uid="{EF6A202F-878B-4FFD-B9CE-27A3E96DA2D2}">
      <text>
        <r>
          <rPr>
            <b/>
            <sz val="9"/>
            <color indexed="81"/>
            <rFont val="Tahoma"/>
            <family val="2"/>
          </rPr>
          <t xml:space="preserve">Résultat du contrôle effectué :
CONFORME (C) / NON CONFORME (NC)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C53" authorId="0" shapeId="0" xr:uid="{2F448941-7585-4E79-80FA-6756CF118480}">
      <text>
        <r>
          <rPr>
            <b/>
            <sz val="9"/>
            <color indexed="81"/>
            <rFont val="Tahoma"/>
            <family val="2"/>
          </rPr>
          <t xml:space="preserve">Nom du responsable qualité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à la fin du contrôle</t>
        </r>
      </text>
    </comment>
    <comment ref="F53" authorId="0" shapeId="0" xr:uid="{BC34852F-A8D0-4A02-A961-A30BC4434F6C}">
      <text>
        <r>
          <rPr>
            <b/>
            <sz val="9"/>
            <color indexed="81"/>
            <rFont val="Tahoma"/>
            <family val="2"/>
          </rPr>
          <t xml:space="preserve">Prénom du responsable qualité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à la fin du contrôle</t>
        </r>
      </text>
    </comment>
    <comment ref="C54" authorId="0" shapeId="0" xr:uid="{B42A6289-E738-4AAB-AEB6-ACA010D08746}">
      <text>
        <r>
          <rPr>
            <b/>
            <sz val="9"/>
            <color indexed="81"/>
            <rFont val="Tahoma"/>
            <family val="2"/>
          </rPr>
          <t xml:space="preserve">Date de finalisation du contrôle de la pièce (date du visa du responsable)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C55" authorId="0" shapeId="0" xr:uid="{242F0465-1359-47EF-88F1-8E8C0EF85721}">
      <text>
        <r>
          <rPr>
            <b/>
            <sz val="9"/>
            <color indexed="81"/>
            <rFont val="Tahoma"/>
            <family val="2"/>
          </rPr>
          <t xml:space="preserve">Visas du responsable qualité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Soleille</author>
  </authors>
  <commentList>
    <comment ref="D2" authorId="0" shapeId="0" xr:uid="{59E99F19-F750-444B-A6D6-CEC8C9A6F8AD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2" authorId="0" shapeId="0" xr:uid="{99E92499-8015-4B6E-92AE-197D1E237014}">
      <text>
        <r>
          <rPr>
            <b/>
            <sz val="9"/>
            <color indexed="81"/>
            <rFont val="Tahoma"/>
            <family val="2"/>
          </rPr>
          <t>Renseigné par Divalto à terme</t>
        </r>
      </text>
    </comment>
    <comment ref="R2" authorId="0" shapeId="0" xr:uid="{CA6B30BE-D27D-41DC-8A49-E059458B39E8}">
      <text>
        <r>
          <rPr>
            <b/>
            <sz val="9"/>
            <color indexed="81"/>
            <rFont val="Tahoma"/>
            <family val="2"/>
          </rPr>
          <t xml:space="preserve">Quantité commandée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= Quantité commandée par le client dont le lot complet fait l'objet du contrôle
</t>
        </r>
        <r>
          <rPr>
            <b/>
            <u/>
            <sz val="9"/>
            <color indexed="81"/>
            <rFont val="Tahoma"/>
            <family val="2"/>
          </rPr>
          <t>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= Quantité commandée au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D3" authorId="0" shapeId="0" xr:uid="{3B15C55D-6DDD-44FB-9B0D-460BF66F7B41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3" authorId="0" shapeId="0" xr:uid="{0E438BE4-AE6F-47A2-ABF7-0165B0240C2F}">
      <text>
        <r>
          <rPr>
            <b/>
            <sz val="9"/>
            <color indexed="81"/>
            <rFont val="Tahoma"/>
            <family val="2"/>
          </rPr>
          <t>Renseigné par Divalto à terme</t>
        </r>
      </text>
    </comment>
    <comment ref="R3" authorId="0" shapeId="0" xr:uid="{E7D86B5B-E652-4D28-BCE1-D4060155F600}">
      <text>
        <r>
          <rPr>
            <b/>
            <sz val="9"/>
            <color indexed="81"/>
            <rFont val="Tahoma"/>
            <family val="2"/>
          </rPr>
          <t xml:space="preserve">Quantité reçue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Sans objet --&gt; </t>
        </r>
        <r>
          <rPr>
            <b/>
            <u/>
            <sz val="9"/>
            <color indexed="81"/>
            <rFont val="Tahoma"/>
            <family val="2"/>
          </rPr>
          <t>indiquer N/A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= Quantité reçue du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D4" authorId="0" shapeId="0" xr:uid="{E103C9D7-0DCC-4248-B11A-8CC9846640E7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4" authorId="0" shapeId="0" xr:uid="{9CE17AF9-6198-4430-AC50-ADAECA729096}">
      <text>
        <r>
          <rPr>
            <b/>
            <sz val="9"/>
            <color indexed="81"/>
            <rFont val="Tahoma"/>
            <family val="2"/>
          </rPr>
          <t xml:space="preserve">Numéro de dérogation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Cas du contrôle d'une réception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R4" authorId="0" shapeId="0" xr:uid="{ECB3B4D8-FF6A-4B3B-B678-21488A086EE2}">
      <text>
        <r>
          <rPr>
            <b/>
            <sz val="9"/>
            <color indexed="81"/>
            <rFont val="Tahoma"/>
            <family val="2"/>
          </rPr>
          <t xml:space="preserve">Quantité de pièces contrôlée dans le lot global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Doit être cohérent des exigences clients : taux d'échantillonnage, etc…
</t>
        </r>
        <r>
          <rPr>
            <b/>
            <u/>
            <sz val="9"/>
            <color indexed="81"/>
            <rFont val="Tahoma"/>
            <family val="2"/>
          </rPr>
          <t xml:space="preserve">
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Doit être cohérent des règles de contrôle internes (plan de contrôle interne) : taux d'échantillonnage, etc....</t>
        </r>
      </text>
    </comment>
    <comment ref="A8" authorId="0" shapeId="0" xr:uid="{C41D9926-AAAF-4A32-BB37-B61A230FC137}">
      <text>
        <r>
          <rPr>
            <b/>
            <sz val="9"/>
            <color indexed="81"/>
            <rFont val="Tahoma"/>
            <family val="2"/>
          </rPr>
          <t xml:space="preserve">Référence de la cote sur le plan (Numéro à mettre sur le plan ou autre système propre au client)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C8" authorId="0" shapeId="0" xr:uid="{89116BDA-A38B-494B-8895-A0223C738F73}">
      <text>
        <r>
          <rPr>
            <b/>
            <sz val="9"/>
            <color indexed="81"/>
            <rFont val="Tahoma"/>
            <family val="2"/>
          </rPr>
          <t xml:space="preserve">Valeur nominale de la cote à contrôler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D8" authorId="0" shapeId="0" xr:uid="{640DEF54-A8F1-427C-9341-F4B5F5BE1888}">
      <text>
        <r>
          <rPr>
            <b/>
            <sz val="9"/>
            <color indexed="81"/>
            <rFont val="Tahoma"/>
            <family val="2"/>
          </rPr>
          <t xml:space="preserve">Valeur mini autorisée pour la cote à contrôlée
= Valeur nominale - Tolérance basse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E8" authorId="0" shapeId="0" xr:uid="{90972A68-A902-47F3-B089-FF6443305087}">
      <text>
        <r>
          <rPr>
            <b/>
            <sz val="9"/>
            <color indexed="81"/>
            <rFont val="Tahoma"/>
            <family val="2"/>
          </rPr>
          <t xml:space="preserve">Valeur maxi autorisée pour la cote à contrôlée
= Valeur nominale + Tolérance haute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F8" authorId="0" shapeId="0" xr:uid="{686CA281-A7DD-46A5-8B14-53DB4D9E6429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G8" authorId="0" shapeId="0" xr:uid="{B6EDEE97-85B8-4200-9945-E541EA9A0328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H8" authorId="0" shapeId="0" xr:uid="{E035AD20-1A28-43D9-ABD9-E3B77DB9E06D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I8" authorId="0" shapeId="0" xr:uid="{BF32ED25-39D2-4F23-BFE7-CF4FF12682E4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J8" authorId="0" shapeId="0" xr:uid="{B70E1ACA-96BC-494C-940C-EE812A680340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P8" authorId="0" shapeId="0" xr:uid="{91AE7CF8-6099-4D4B-AE95-9C5973368B8F}">
      <text>
        <r>
          <rPr>
            <b/>
            <sz val="9"/>
            <color indexed="81"/>
            <rFont val="Tahoma"/>
            <family val="2"/>
          </rPr>
          <t xml:space="preserve">Type d’instrument de contrôle à utiliser
A renseigner </t>
        </r>
        <r>
          <rPr>
            <b/>
            <u/>
            <sz val="9"/>
            <color indexed="81"/>
            <rFont val="Tahoma"/>
            <family val="2"/>
          </rPr>
          <t>informatiquement à partir de la liste déoulante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R8" authorId="0" shapeId="0" xr:uid="{AA949E48-4318-4888-9C69-AF6A3A410F0B}">
      <text>
        <r>
          <rPr>
            <b/>
            <sz val="9"/>
            <color indexed="81"/>
            <rFont val="Tahoma"/>
            <family val="2"/>
          </rPr>
          <t xml:space="preserve">Trigramme de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S8" authorId="0" shapeId="0" xr:uid="{5B117A51-D279-4410-BF3F-3B71CA738FFC}">
      <text>
        <r>
          <rPr>
            <b/>
            <sz val="9"/>
            <color indexed="81"/>
            <rFont val="Tahoma"/>
            <family val="2"/>
          </rPr>
          <t xml:space="preserve">Date de réalisation du contrôle par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A19" authorId="0" shapeId="0" xr:uid="{F27B022C-8452-453D-82CB-7DC55FA8BB48}">
      <text>
        <r>
          <rPr>
            <b/>
            <sz val="9"/>
            <color indexed="81"/>
            <rFont val="Tahoma"/>
            <family val="2"/>
          </rPr>
          <t xml:space="preserve">Référence de la cote sur le plan (Numéro à mettre sur le plan ou autre système propre au client)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C19" authorId="0" shapeId="0" xr:uid="{C75EBEB2-D681-422B-AF8B-DE856EBB4DDE}">
      <text>
        <r>
          <rPr>
            <b/>
            <sz val="9"/>
            <color indexed="81"/>
            <rFont val="Tahoma"/>
            <family val="2"/>
          </rPr>
          <t xml:space="preserve">Valeur nominale de la cote à contrôler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D19" authorId="0" shapeId="0" xr:uid="{665F4A1F-03A4-4370-A9FC-A03468C862DB}">
      <text>
        <r>
          <rPr>
            <b/>
            <sz val="9"/>
            <color indexed="81"/>
            <rFont val="Tahoma"/>
            <family val="2"/>
          </rPr>
          <t xml:space="preserve">Valeur mini autorisée pour la cote à contrôlée
= Valeur nominale - Tolérance basse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E19" authorId="0" shapeId="0" xr:uid="{6A284607-46BD-41A7-9E40-55489CC13682}">
      <text>
        <r>
          <rPr>
            <b/>
            <sz val="9"/>
            <color indexed="81"/>
            <rFont val="Tahoma"/>
            <family val="2"/>
          </rPr>
          <t xml:space="preserve">Valeur maxi autorisée pour la cote à contrôlée
= Valeur nominale + Tolérance haute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F19" authorId="0" shapeId="0" xr:uid="{844E34B5-7218-4AC1-951E-0CCF49C77F41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G19" authorId="0" shapeId="0" xr:uid="{C6FA40BE-27CA-4AA5-B7A5-3CDE9E54DF1C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H19" authorId="0" shapeId="0" xr:uid="{9A13935F-3712-438E-B04B-25B3889E56FA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I19" authorId="0" shapeId="0" xr:uid="{24D6AA07-FB78-4D85-8228-F832C7E20AD4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J19" authorId="0" shapeId="0" xr:uid="{84FFA693-D47F-4FC8-BB95-0023D91BC7FB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P19" authorId="0" shapeId="0" xr:uid="{78E43152-DC36-439C-BCA8-CBDCAEAA4A79}">
      <text>
        <r>
          <rPr>
            <b/>
            <sz val="9"/>
            <color indexed="81"/>
            <rFont val="Tahoma"/>
            <family val="2"/>
          </rPr>
          <t xml:space="preserve">Type d’instrument de contrôle à utiliser
A renseigner </t>
        </r>
        <r>
          <rPr>
            <b/>
            <u/>
            <sz val="9"/>
            <color indexed="81"/>
            <rFont val="Tahoma"/>
            <family val="2"/>
          </rPr>
          <t>informatiquement à partir de la liste déoulante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R19" authorId="0" shapeId="0" xr:uid="{919168DA-62B2-4902-960C-BF199EEE9F09}">
      <text>
        <r>
          <rPr>
            <b/>
            <sz val="9"/>
            <color indexed="81"/>
            <rFont val="Tahoma"/>
            <family val="2"/>
          </rPr>
          <t xml:space="preserve">Trigramme de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S19" authorId="0" shapeId="0" xr:uid="{A402D9F3-8D59-480D-936F-403B7B9BF873}">
      <text>
        <r>
          <rPr>
            <b/>
            <sz val="9"/>
            <color indexed="81"/>
            <rFont val="Tahoma"/>
            <family val="2"/>
          </rPr>
          <t xml:space="preserve">Date de réalisation du contrôle par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A38" authorId="0" shapeId="0" xr:uid="{3B3C9EE0-7682-417F-BA8A-FF5050778CAD}">
      <text>
        <r>
          <rPr>
            <b/>
            <sz val="9"/>
            <color indexed="81"/>
            <rFont val="Tahoma"/>
            <family val="2"/>
          </rPr>
          <t xml:space="preserve">Référence de la cote sur le plan (Numéro à mettre sur le plan ou autre système propre au client)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C38" authorId="0" shapeId="0" xr:uid="{B439A6F0-6E32-4BD0-A10D-F5AC68AE278A}">
      <text>
        <r>
          <rPr>
            <b/>
            <sz val="9"/>
            <color indexed="81"/>
            <rFont val="Tahoma"/>
            <family val="2"/>
          </rPr>
          <t xml:space="preserve">Valeur nominale de la cote à contrôler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D38" authorId="0" shapeId="0" xr:uid="{0D3587EB-AFB0-4985-B836-81C024820BC0}">
      <text>
        <r>
          <rPr>
            <b/>
            <sz val="9"/>
            <color indexed="81"/>
            <rFont val="Tahoma"/>
            <family val="2"/>
          </rPr>
          <t xml:space="preserve">Valeur mini autorisée pour la cote à contrôlée
= Valeur nominale - Tolérance basse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E38" authorId="0" shapeId="0" xr:uid="{20C31A8C-5553-4BB0-BE2F-4788B9EB08A2}">
      <text>
        <r>
          <rPr>
            <b/>
            <sz val="9"/>
            <color indexed="81"/>
            <rFont val="Tahoma"/>
            <family val="2"/>
          </rPr>
          <t xml:space="preserve">Valeur maxi autorisée pour la cote à contrôlée
= Valeur nominale + Tolérance haute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F38" authorId="0" shapeId="0" xr:uid="{852EEDD4-27DB-4E14-BF1E-3D7316E45C3F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G38" authorId="0" shapeId="0" xr:uid="{683FAD95-6452-45A1-920A-947E7F88B263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H38" authorId="0" shapeId="0" xr:uid="{AA4517A5-96AD-460B-A35A-27E8BFD9FCF5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I38" authorId="0" shapeId="0" xr:uid="{848B688B-3582-4E82-97D6-C42FDE997BC6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J38" authorId="0" shapeId="0" xr:uid="{4AF10ABF-B5FD-4EDA-BA1B-E69A84423689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P38" authorId="0" shapeId="0" xr:uid="{F9867E4F-723B-424E-88DC-D1453138D2AB}">
      <text>
        <r>
          <rPr>
            <b/>
            <sz val="9"/>
            <color indexed="81"/>
            <rFont val="Tahoma"/>
            <family val="2"/>
          </rPr>
          <t xml:space="preserve">Type d’instrument de contrôle à utiliser
A renseigner </t>
        </r>
        <r>
          <rPr>
            <b/>
            <u/>
            <sz val="9"/>
            <color indexed="81"/>
            <rFont val="Tahoma"/>
            <family val="2"/>
          </rPr>
          <t>informatiquement à partir de la liste déoulante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R38" authorId="0" shapeId="0" xr:uid="{3B7561AF-CF0A-45ED-AAD9-290291CCF3FD}">
      <text>
        <r>
          <rPr>
            <b/>
            <sz val="9"/>
            <color indexed="81"/>
            <rFont val="Tahoma"/>
            <family val="2"/>
          </rPr>
          <t xml:space="preserve">Trigramme de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S38" authorId="0" shapeId="0" xr:uid="{71B73728-E536-40ED-BF65-17B45153463F}">
      <text>
        <r>
          <rPr>
            <b/>
            <sz val="9"/>
            <color indexed="81"/>
            <rFont val="Tahoma"/>
            <family val="2"/>
          </rPr>
          <t xml:space="preserve">Date de réalisation du contrôle par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A44" authorId="0" shapeId="0" xr:uid="{99F0E48F-6215-4873-BED0-551D06628B63}">
      <text>
        <r>
          <rPr>
            <b/>
            <sz val="9"/>
            <color indexed="81"/>
            <rFont val="Tahoma"/>
            <family val="2"/>
          </rPr>
          <t xml:space="preserve">Référence de la cote sur le plan (Numéro à mettre sur le plan ou autre système propre au client)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C44" authorId="0" shapeId="0" xr:uid="{449CD2D9-B7DA-4809-8F6F-8A85EBDBABC4}">
      <text>
        <r>
          <rPr>
            <b/>
            <sz val="9"/>
            <color indexed="81"/>
            <rFont val="Tahoma"/>
            <family val="2"/>
          </rPr>
          <t xml:space="preserve">Valeur nominale de la cote à contrôler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D44" authorId="0" shapeId="0" xr:uid="{B9AADC19-26E2-4BEA-93FE-7476F3090C03}">
      <text>
        <r>
          <rPr>
            <b/>
            <sz val="9"/>
            <color indexed="81"/>
            <rFont val="Tahoma"/>
            <family val="2"/>
          </rPr>
          <t xml:space="preserve">Valeur mini autorisée pour la cote à contrôlée
= Valeur nominale - Tolérance basse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E44" authorId="0" shapeId="0" xr:uid="{A7F99813-8AEF-470C-B0E6-BEA96B1B4500}">
      <text>
        <r>
          <rPr>
            <b/>
            <sz val="9"/>
            <color indexed="81"/>
            <rFont val="Tahoma"/>
            <family val="2"/>
          </rPr>
          <t xml:space="preserve">Valeur maxi autorisée pour la cote à contrôlée
= Valeur nominale + Tolérance haute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F44" authorId="0" shapeId="0" xr:uid="{07C0CBD5-0692-43B5-B6BF-D0C580676CD6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G44" authorId="0" shapeId="0" xr:uid="{CAB3C895-7828-41F7-B0D3-7F2A68E62C62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H44" authorId="0" shapeId="0" xr:uid="{3C3360E9-43D1-4EAF-8299-0135A4D87A47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I44" authorId="0" shapeId="0" xr:uid="{BA433F81-D24C-4724-9B7F-954DA2B0CD6F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J44" authorId="0" shapeId="0" xr:uid="{5E13258B-06E1-4565-A4D1-412821FDBA06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P44" authorId="0" shapeId="0" xr:uid="{76F8C0CC-0619-4A13-98FD-63BC1CDF3DC9}">
      <text>
        <r>
          <rPr>
            <b/>
            <sz val="9"/>
            <color indexed="81"/>
            <rFont val="Tahoma"/>
            <family val="2"/>
          </rPr>
          <t xml:space="preserve">Type d’instrument de contrôle à utiliser
A renseigner </t>
        </r>
        <r>
          <rPr>
            <b/>
            <u/>
            <sz val="9"/>
            <color indexed="81"/>
            <rFont val="Tahoma"/>
            <family val="2"/>
          </rPr>
          <t>informatiquement à partir de la liste déoulante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R44" authorId="0" shapeId="0" xr:uid="{1C4169DF-BE83-42E1-A2E6-650E485B064D}">
      <text>
        <r>
          <rPr>
            <b/>
            <sz val="9"/>
            <color indexed="81"/>
            <rFont val="Tahoma"/>
            <family val="2"/>
          </rPr>
          <t xml:space="preserve">Trigramme de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S44" authorId="0" shapeId="0" xr:uid="{7EAE627B-60B2-4808-B70F-85AA62B89997}">
      <text>
        <r>
          <rPr>
            <b/>
            <sz val="9"/>
            <color indexed="81"/>
            <rFont val="Tahoma"/>
            <family val="2"/>
          </rPr>
          <t xml:space="preserve">Date de réalisation du contrôle par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Soleille</author>
  </authors>
  <commentList>
    <comment ref="D2" authorId="0" shapeId="0" xr:uid="{AB663FDB-F0CA-4E14-9C0C-27074CD25333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2" authorId="0" shapeId="0" xr:uid="{A4BAA103-4C25-41B1-A9BC-D70DF94A7668}">
      <text>
        <r>
          <rPr>
            <b/>
            <sz val="9"/>
            <color indexed="81"/>
            <rFont val="Tahoma"/>
            <family val="2"/>
          </rPr>
          <t>Renseigné par Divalto à terme</t>
        </r>
      </text>
    </comment>
    <comment ref="N2" authorId="0" shapeId="0" xr:uid="{00D9DC3C-CFEA-455D-A95C-5095D33169C6}">
      <text>
        <r>
          <rPr>
            <b/>
            <sz val="9"/>
            <color indexed="81"/>
            <rFont val="Tahoma"/>
            <family val="2"/>
          </rPr>
          <t xml:space="preserve">Quantité commandée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= Quantité commandée par le client dont le lot complet fait l'objet du contrôle
</t>
        </r>
        <r>
          <rPr>
            <b/>
            <u/>
            <sz val="9"/>
            <color indexed="81"/>
            <rFont val="Tahoma"/>
            <family val="2"/>
          </rPr>
          <t>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= Quantité commandée au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D3" authorId="0" shapeId="0" xr:uid="{53D057D7-4293-4BA8-AB07-C7E69EEB7522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3" authorId="0" shapeId="0" xr:uid="{9EFD8FEE-98C7-445E-8540-A7E03CE78C74}">
      <text>
        <r>
          <rPr>
            <b/>
            <sz val="9"/>
            <color indexed="81"/>
            <rFont val="Tahoma"/>
            <family val="2"/>
          </rPr>
          <t>Renseigné par Divalto à terme</t>
        </r>
      </text>
    </comment>
    <comment ref="N3" authorId="0" shapeId="0" xr:uid="{DF66AD1F-BB4B-4706-A361-80BF053A92E1}">
      <text>
        <r>
          <rPr>
            <b/>
            <sz val="9"/>
            <color indexed="81"/>
            <rFont val="Tahoma"/>
            <family val="2"/>
          </rPr>
          <t xml:space="preserve">Quantité reçue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Sans objet --&gt; </t>
        </r>
        <r>
          <rPr>
            <b/>
            <u/>
            <sz val="9"/>
            <color indexed="81"/>
            <rFont val="Tahoma"/>
            <family val="2"/>
          </rPr>
          <t>indiquer N/A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= Quantité reçue du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D4" authorId="0" shapeId="0" xr:uid="{47E76BB1-8DC0-41A1-A951-D30D6125A1C8}">
      <text>
        <r>
          <rPr>
            <b/>
            <sz val="9"/>
            <color indexed="81"/>
            <rFont val="Tahoma"/>
            <family val="2"/>
          </rPr>
          <t>Renseigné par Divalto</t>
        </r>
      </text>
    </comment>
    <comment ref="I4" authorId="0" shapeId="0" xr:uid="{13CAB3F6-3FE6-4435-82CD-8EE325A2FB68}">
      <text>
        <r>
          <rPr>
            <b/>
            <sz val="9"/>
            <color indexed="81"/>
            <rFont val="Tahoma"/>
            <family val="2"/>
          </rPr>
          <t xml:space="preserve">Numéro de dérogation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Cas du contrôle d'une réception fournisseur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N4" authorId="0" shapeId="0" xr:uid="{3F632976-4056-4A5B-B920-B985098FB2A9}">
      <text>
        <r>
          <rPr>
            <b/>
            <sz val="9"/>
            <color indexed="81"/>
            <rFont val="Tahoma"/>
            <family val="2"/>
          </rPr>
          <t xml:space="preserve">Quantité de pièces contrôlée dans le lot global
</t>
        </r>
        <r>
          <rPr>
            <b/>
            <u/>
            <sz val="9"/>
            <color indexed="81"/>
            <rFont val="Tahoma"/>
            <family val="2"/>
          </rPr>
          <t>Cas du contrôle avant livraison d'une commande client :</t>
        </r>
        <r>
          <rPr>
            <b/>
            <sz val="9"/>
            <color indexed="81"/>
            <rFont val="Tahoma"/>
            <family val="2"/>
          </rPr>
          <t xml:space="preserve">
Doit être cohérent des exigences clients : taux d'échantillonnage, etc…
</t>
        </r>
        <r>
          <rPr>
            <b/>
            <u/>
            <sz val="9"/>
            <color indexed="81"/>
            <rFont val="Tahoma"/>
            <family val="2"/>
          </rPr>
          <t xml:space="preserve">
Cas du contrôle d'une réception fournisseur :</t>
        </r>
        <r>
          <rPr>
            <b/>
            <sz val="9"/>
            <color indexed="81"/>
            <rFont val="Tahoma"/>
            <family val="2"/>
          </rPr>
          <t xml:space="preserve">
Doit être cohérent des règles de contrôle internes (plan de contrôle interne) : taux d'échantillonnage, etc....</t>
        </r>
      </text>
    </comment>
    <comment ref="E7" authorId="0" shapeId="0" xr:uid="{A382BB70-3156-4876-803A-681B884E893F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7" authorId="0" shapeId="0" xr:uid="{42F8D30C-8EF6-4C1D-887C-9025B5A2C26C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7" authorId="0" shapeId="0" xr:uid="{76DDB03F-9C66-4F8D-9D56-3AA8EFE38BC8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7" authorId="0" shapeId="0" xr:uid="{75ED95C8-FB78-45B7-82BD-34B25DED0D18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E8" authorId="0" shapeId="0" xr:uid="{EA42B0EE-A24B-48C3-9147-C788704B6963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8" authorId="0" shapeId="0" xr:uid="{31D5ACCB-3693-4B7C-A42A-BD22EC87F4DF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8" authorId="0" shapeId="0" xr:uid="{2408936D-79F4-4332-8C51-333949E8027D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8" authorId="0" shapeId="0" xr:uid="{F8CB9870-355C-4713-A8CF-073AED42358F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E9" authorId="0" shapeId="0" xr:uid="{A41F0C9B-0164-49E0-84AE-23134A96F10D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9" authorId="0" shapeId="0" xr:uid="{56732BA1-1A4B-49C8-A3A3-A320CDA17665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9" authorId="0" shapeId="0" xr:uid="{B43BE61A-1F4B-4BC8-B035-534C1142BD26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9" authorId="0" shapeId="0" xr:uid="{8C044B38-C83D-4CFC-9EF9-25372C1B28DA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E10" authorId="0" shapeId="0" xr:uid="{B4A1B23C-1512-4EA9-9934-A677313236BD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10" authorId="0" shapeId="0" xr:uid="{258703A6-7BCF-47A3-9454-223C4341DB06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10" authorId="0" shapeId="0" xr:uid="{56E78677-ED93-4EA1-BAA2-F6E383C49D12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10" authorId="0" shapeId="0" xr:uid="{66887874-BAF3-482A-B20E-B2C032D4B8A1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E11" authorId="0" shapeId="0" xr:uid="{0A2FF7BA-1200-4AC3-9A5F-60AE6FF05BF2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F11" authorId="0" shapeId="0" xr:uid="{8163CFDB-CD98-44DB-8916-8E249EED96CC}">
      <text>
        <r>
          <rPr>
            <b/>
            <sz val="9"/>
            <color indexed="81"/>
            <rFont val="Tahoma"/>
            <family val="2"/>
          </rPr>
          <t>Renseigné manuellement</t>
        </r>
      </text>
    </comment>
    <comment ref="I11" authorId="0" shapeId="0" xr:uid="{BE275651-D3BF-4BD3-A67E-01C60858D2C7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J11" authorId="0" shapeId="0" xr:uid="{067973F3-9F03-4ED2-B3A6-FE23BA706830}">
      <text>
        <r>
          <rPr>
            <b/>
            <sz val="9"/>
            <color indexed="81"/>
            <rFont val="Tahoma"/>
            <family val="2"/>
          </rPr>
          <t>Entourer / Barrer en fonction des cas</t>
        </r>
      </text>
    </comment>
    <comment ref="A14" authorId="0" shapeId="0" xr:uid="{17525736-5CA3-49CB-B992-26C90B098017}">
      <text>
        <r>
          <rPr>
            <b/>
            <sz val="9"/>
            <color indexed="81"/>
            <rFont val="Tahoma"/>
            <family val="2"/>
          </rPr>
          <t xml:space="preserve">Référence de la cote sur le plan (Numéro à mettre sur le plan ou autre système propre au client)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C14" authorId="0" shapeId="0" xr:uid="{BE774691-5322-4911-A988-49FF1596C45A}">
      <text>
        <r>
          <rPr>
            <b/>
            <sz val="9"/>
            <color indexed="81"/>
            <rFont val="Tahoma"/>
            <family val="2"/>
          </rPr>
          <t xml:space="preserve">Valeur nominale de la cote à contrôler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D14" authorId="0" shapeId="0" xr:uid="{CAD907D4-F74C-4BB0-B99C-2D9953835373}">
      <text>
        <r>
          <rPr>
            <b/>
            <sz val="9"/>
            <color indexed="81"/>
            <rFont val="Tahoma"/>
            <family val="2"/>
          </rPr>
          <t xml:space="preserve">Valeur mini autorisée pour la cote à contrôlée
= Valeur nominale - Tolérance basse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E14" authorId="0" shapeId="0" xr:uid="{65C71213-FD49-48E2-BF66-4D514DC46566}">
      <text>
        <r>
          <rPr>
            <b/>
            <sz val="9"/>
            <color indexed="81"/>
            <rFont val="Tahoma"/>
            <family val="2"/>
          </rPr>
          <t xml:space="preserve">Valeur maxi autorisée pour la cote à contrôlée
= Valeur nominale + Tolérance haute
A renseigner </t>
        </r>
        <r>
          <rPr>
            <b/>
            <u/>
            <sz val="9"/>
            <color indexed="81"/>
            <rFont val="Tahoma"/>
            <family val="2"/>
          </rPr>
          <t>informatiquement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F14" authorId="0" shapeId="0" xr:uid="{B71D6B39-9FE8-4543-91F8-E7EBF8637631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G14" authorId="0" shapeId="0" xr:uid="{FA6EB636-78A1-4F0A-9F21-390F4007A5C5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H14" authorId="0" shapeId="0" xr:uid="{0E211240-E1DE-4104-8D3C-DCBB05F8194B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I14" authorId="0" shapeId="0" xr:uid="{A628C012-96E5-4973-85B6-4370E11DAE5C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J14" authorId="0" shapeId="0" xr:uid="{07384604-897B-49E2-BFD6-9E030CC515F6}">
      <text>
        <r>
          <rPr>
            <b/>
            <sz val="9"/>
            <color indexed="81"/>
            <rFont val="Tahoma"/>
            <family val="2"/>
          </rPr>
          <t xml:space="preserve">Valeur relevée sur la pièce numéro "#XX"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par le contrôleur au moment de la réalisation du contrôle du lot de pièces</t>
        </r>
      </text>
    </comment>
    <comment ref="K14" authorId="0" shapeId="0" xr:uid="{38FBDA37-379B-4999-AC45-64C799CC1351}">
      <text>
        <r>
          <rPr>
            <b/>
            <sz val="9"/>
            <color indexed="81"/>
            <rFont val="Tahoma"/>
            <family val="2"/>
          </rPr>
          <t xml:space="preserve">Type d’instrument de contrôle à utiliser
A renseigner </t>
        </r>
        <r>
          <rPr>
            <b/>
            <u/>
            <sz val="9"/>
            <color indexed="81"/>
            <rFont val="Tahoma"/>
            <family val="2"/>
          </rPr>
          <t>informatiquement à partir de la liste déoulante</t>
        </r>
        <r>
          <rPr>
            <b/>
            <sz val="9"/>
            <color indexed="81"/>
            <rFont val="Tahoma"/>
            <family val="2"/>
          </rPr>
          <t xml:space="preserve"> par l'opérateur méthode du contrôle en phase de préparation des données techniques de la pièce</t>
        </r>
      </text>
    </comment>
    <comment ref="M14" authorId="0" shapeId="0" xr:uid="{DD824B74-FF55-46FF-8B49-B9BAF7557AEC}">
      <text>
        <r>
          <rPr>
            <b/>
            <sz val="9"/>
            <color indexed="81"/>
            <rFont val="Tahoma"/>
            <family val="2"/>
          </rPr>
          <t>Identifiant unique du moyen de contrôle utilisé
A renseigner manuellement par le contrôleur au moment de la réalisation du contrôle du lot de pièces</t>
        </r>
      </text>
    </comment>
    <comment ref="N14" authorId="0" shapeId="0" xr:uid="{65398B63-C4B8-4039-BDCB-E0052711F62C}">
      <text>
        <r>
          <rPr>
            <b/>
            <sz val="9"/>
            <color indexed="81"/>
            <rFont val="Tahoma"/>
            <family val="2"/>
          </rPr>
          <t xml:space="preserve">Trigramme de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O14" authorId="0" shapeId="0" xr:uid="{2A1E4D48-77CA-41C4-B77F-CC4DB1B23146}">
      <text>
        <r>
          <rPr>
            <b/>
            <sz val="9"/>
            <color indexed="81"/>
            <rFont val="Tahoma"/>
            <family val="2"/>
          </rPr>
          <t xml:space="preserve">Date de réalisation du contrôle par l'opérateur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P14" authorId="0" shapeId="0" xr:uid="{7EDE49B5-B461-4B9F-AC4A-68E74A9D2584}">
      <text>
        <r>
          <rPr>
            <b/>
            <sz val="9"/>
            <color indexed="81"/>
            <rFont val="Tahoma"/>
            <family val="2"/>
          </rPr>
          <t xml:space="preserve">Résultat du contrôle effectué :
CONFORME (C) / NON CONFORME (NC)
A renseigner </t>
        </r>
        <r>
          <rPr>
            <b/>
            <u/>
            <sz val="9"/>
            <color indexed="81"/>
            <rFont val="Tahoma"/>
            <family val="2"/>
          </rPr>
          <t xml:space="preserve">manuellement </t>
        </r>
        <r>
          <rPr>
            <b/>
            <sz val="9"/>
            <color indexed="81"/>
            <rFont val="Tahoma"/>
            <family val="2"/>
          </rPr>
          <t>par le contrôleur au moment de la réalisation du contrôle du lot de pièces</t>
        </r>
      </text>
    </comment>
    <comment ref="C25" authorId="0" shapeId="0" xr:uid="{93947512-390C-4392-9B7F-3CD81F8028D3}">
      <text>
        <r>
          <rPr>
            <b/>
            <sz val="9"/>
            <color indexed="81"/>
            <rFont val="Tahoma"/>
            <family val="2"/>
          </rPr>
          <t xml:space="preserve">Nom du responsable qualité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à la fin du contrôle</t>
        </r>
      </text>
    </comment>
    <comment ref="F25" authorId="0" shapeId="0" xr:uid="{477930FF-0A3D-4E10-B4F2-4EB4045CF772}">
      <text>
        <r>
          <rPr>
            <b/>
            <sz val="9"/>
            <color indexed="81"/>
            <rFont val="Tahoma"/>
            <family val="2"/>
          </rPr>
          <t xml:space="preserve">Prénom du responsable qualité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  <r>
          <rPr>
            <b/>
            <sz val="9"/>
            <color indexed="81"/>
            <rFont val="Tahoma"/>
            <family val="2"/>
          </rPr>
          <t xml:space="preserve"> à la fin du contrôle</t>
        </r>
      </text>
    </comment>
    <comment ref="C26" authorId="0" shapeId="0" xr:uid="{F71532F2-0A20-43C7-8EBA-EAD9A5A2690A}">
      <text>
        <r>
          <rPr>
            <b/>
            <sz val="9"/>
            <color indexed="81"/>
            <rFont val="Tahoma"/>
            <family val="2"/>
          </rPr>
          <t xml:space="preserve">Date de finalisation du contrôle de la pièce (date du visa du responsable)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  <comment ref="C27" authorId="0" shapeId="0" xr:uid="{C2F27425-4F6A-4D30-8275-5E03C0A0CAAD}">
      <text>
        <r>
          <rPr>
            <b/>
            <sz val="9"/>
            <color indexed="81"/>
            <rFont val="Tahoma"/>
            <family val="2"/>
          </rPr>
          <t xml:space="preserve">Visas du responsable qualité
A renseigner </t>
        </r>
        <r>
          <rPr>
            <b/>
            <u/>
            <sz val="9"/>
            <color indexed="81"/>
            <rFont val="Tahoma"/>
            <family val="2"/>
          </rPr>
          <t>manuellement</t>
        </r>
      </text>
    </comment>
  </commentList>
</comments>
</file>

<file path=xl/sharedStrings.xml><?xml version="1.0" encoding="utf-8"?>
<sst xmlns="http://schemas.openxmlformats.org/spreadsheetml/2006/main" count="405" uniqueCount="174">
  <si>
    <t>Date</t>
  </si>
  <si>
    <t>PRESENT</t>
  </si>
  <si>
    <t xml:space="preserve">N° : </t>
  </si>
  <si>
    <t>Tolérance min</t>
  </si>
  <si>
    <t>Tolérance max</t>
  </si>
  <si>
    <t>N/A</t>
  </si>
  <si>
    <t>Opérateur</t>
  </si>
  <si>
    <t>Type de Moyen / Instrument</t>
  </si>
  <si>
    <t>ID</t>
  </si>
  <si>
    <t>IDENTIFICATION</t>
  </si>
  <si>
    <t>REFERENCE DOCUMENTS</t>
  </si>
  <si>
    <r>
      <rPr>
        <b/>
        <sz val="14"/>
        <color theme="1"/>
        <rFont val="Calibri"/>
        <family val="2"/>
        <scheme val="minor"/>
      </rPr>
      <t xml:space="preserve">Référence article </t>
    </r>
    <r>
      <rPr>
        <i/>
        <sz val="14"/>
        <color theme="1"/>
        <rFont val="Calibri"/>
        <family val="2"/>
        <scheme val="minor"/>
      </rPr>
      <t>/
Reference</t>
    </r>
  </si>
  <si>
    <r>
      <rPr>
        <b/>
        <sz val="14"/>
        <color theme="1"/>
        <rFont val="Calibri"/>
        <family val="2"/>
        <scheme val="minor"/>
      </rPr>
      <t>Révision article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/
Revision</t>
    </r>
  </si>
  <si>
    <r>
      <rPr>
        <b/>
        <sz val="14"/>
        <color theme="1"/>
        <rFont val="Calibri"/>
        <family val="2"/>
        <scheme val="minor"/>
      </rPr>
      <t>Libellé article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/
Designation</t>
    </r>
  </si>
  <si>
    <r>
      <rPr>
        <b/>
        <sz val="14"/>
        <color theme="1"/>
        <rFont val="Calibri"/>
        <family val="2"/>
        <scheme val="minor"/>
      </rPr>
      <t>N° Commande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/
Order</t>
    </r>
  </si>
  <si>
    <r>
      <rPr>
        <b/>
        <sz val="14"/>
        <color theme="1"/>
        <rFont val="Calibri"/>
        <family val="2"/>
        <scheme val="minor"/>
      </rPr>
      <t xml:space="preserve">N° BL fournisseur </t>
    </r>
    <r>
      <rPr>
        <i/>
        <sz val="14"/>
        <color theme="1"/>
        <rFont val="Calibri"/>
        <family val="2"/>
        <scheme val="minor"/>
      </rPr>
      <t>/
Supplier Delivery Note</t>
    </r>
  </si>
  <si>
    <r>
      <rPr>
        <b/>
        <sz val="14"/>
        <color theme="1"/>
        <rFont val="Calibri"/>
        <family val="2"/>
        <scheme val="minor"/>
      </rPr>
      <t xml:space="preserve">N° Dérogation </t>
    </r>
    <r>
      <rPr>
        <sz val="14"/>
        <color theme="1"/>
        <rFont val="Calibri"/>
        <family val="2"/>
        <scheme val="minor"/>
      </rPr>
      <t>/</t>
    </r>
    <r>
      <rPr>
        <i/>
        <sz val="14"/>
        <color theme="1"/>
        <rFont val="Calibri"/>
        <family val="2"/>
        <scheme val="minor"/>
      </rPr>
      <t xml:space="preserve">
Waiver</t>
    </r>
  </si>
  <si>
    <r>
      <rPr>
        <b/>
        <sz val="14"/>
        <color theme="1"/>
        <rFont val="Calibri"/>
        <family val="2"/>
        <scheme val="minor"/>
      </rPr>
      <t>Quantité contrôlée</t>
    </r>
    <r>
      <rPr>
        <sz val="14"/>
        <color theme="1"/>
        <rFont val="Calibri"/>
        <family val="2"/>
        <scheme val="minor"/>
      </rPr>
      <t xml:space="preserve"> /
</t>
    </r>
    <r>
      <rPr>
        <i/>
        <sz val="14"/>
        <color theme="1"/>
        <rFont val="Calibri"/>
        <family val="2"/>
        <scheme val="minor"/>
      </rPr>
      <t>Controled qty</t>
    </r>
  </si>
  <si>
    <r>
      <rPr>
        <b/>
        <sz val="14"/>
        <color theme="1"/>
        <rFont val="Calibri"/>
        <family val="2"/>
        <scheme val="minor"/>
      </rPr>
      <t>Relevé dimensionnel</t>
    </r>
    <r>
      <rPr>
        <i/>
        <sz val="14"/>
        <color theme="1"/>
        <rFont val="Calibri"/>
        <family val="2"/>
        <scheme val="minor"/>
      </rPr>
      <t xml:space="preserve"> /
Dimensional measurements</t>
    </r>
  </si>
  <si>
    <r>
      <rPr>
        <b/>
        <sz val="14"/>
        <color theme="1"/>
        <rFont val="Calibri"/>
        <family val="2"/>
        <scheme val="minor"/>
      </rPr>
      <t>Certificat matière</t>
    </r>
    <r>
      <rPr>
        <i/>
        <sz val="14"/>
        <color theme="1"/>
        <rFont val="Calibri"/>
        <family val="2"/>
        <scheme val="minor"/>
      </rPr>
      <t xml:space="preserve"> / 
Material compliance</t>
    </r>
  </si>
  <si>
    <r>
      <rPr>
        <b/>
        <sz val="14"/>
        <color theme="1"/>
        <rFont val="Calibri"/>
        <family val="2"/>
        <scheme val="minor"/>
      </rPr>
      <t>Certificat traitement thermique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/
Thermal treatment compliance</t>
    </r>
  </si>
  <si>
    <r>
      <rPr>
        <b/>
        <sz val="14"/>
        <color theme="1"/>
        <rFont val="Calibri"/>
        <family val="2"/>
        <scheme val="minor"/>
      </rPr>
      <t>Certificat traitement de surface</t>
    </r>
    <r>
      <rPr>
        <i/>
        <sz val="14"/>
        <color theme="1"/>
        <rFont val="Calibri"/>
        <family val="2"/>
        <scheme val="minor"/>
      </rPr>
      <t xml:space="preserve"> /
Surface treatment compliance</t>
    </r>
  </si>
  <si>
    <r>
      <rPr>
        <b/>
        <sz val="14"/>
        <color theme="1"/>
        <rFont val="Calibri"/>
        <family val="2"/>
        <scheme val="minor"/>
      </rPr>
      <t>Certificat de peinture</t>
    </r>
    <r>
      <rPr>
        <i/>
        <sz val="14"/>
        <color theme="1"/>
        <rFont val="Calibri"/>
        <family val="2"/>
        <scheme val="minor"/>
      </rPr>
      <t xml:space="preserve"> /
Painting compliance</t>
    </r>
  </si>
  <si>
    <t>Nom :</t>
  </si>
  <si>
    <t>Prénom :</t>
  </si>
  <si>
    <t>Date :</t>
  </si>
  <si>
    <t>Visa :</t>
  </si>
  <si>
    <r>
      <t>ATTACHEMENTS (</t>
    </r>
    <r>
      <rPr>
        <i/>
        <sz val="14"/>
        <color theme="1"/>
        <rFont val="Calibri"/>
        <family val="2"/>
        <scheme val="minor"/>
      </rPr>
      <t>rayer les mentions inutiles et indiquer les références des documents le cas échéant)</t>
    </r>
  </si>
  <si>
    <r>
      <t>VALEURS CONTROLEES /</t>
    </r>
    <r>
      <rPr>
        <b/>
        <i/>
        <sz val="14"/>
        <color theme="1"/>
        <rFont val="Calibri"/>
        <family val="2"/>
        <scheme val="minor"/>
      </rPr>
      <t xml:space="preserve"> Controled values</t>
    </r>
  </si>
  <si>
    <r>
      <t xml:space="preserve">RELEVES DE MESURES / </t>
    </r>
    <r>
      <rPr>
        <b/>
        <i/>
        <sz val="14"/>
        <color theme="1"/>
        <rFont val="Calibri"/>
        <family val="2"/>
        <scheme val="minor"/>
      </rPr>
      <t>Measurements</t>
    </r>
  </si>
  <si>
    <r>
      <t xml:space="preserve">MOYENS DE CONTRÔLE / </t>
    </r>
    <r>
      <rPr>
        <b/>
        <i/>
        <sz val="14"/>
        <color theme="1"/>
        <rFont val="Calibri"/>
        <family val="2"/>
        <scheme val="minor"/>
      </rPr>
      <t>Means</t>
    </r>
  </si>
  <si>
    <r>
      <t xml:space="preserve">RESULTATS / </t>
    </r>
    <r>
      <rPr>
        <b/>
        <i/>
        <sz val="14"/>
        <color theme="1"/>
        <rFont val="Calibri"/>
        <family val="2"/>
        <scheme val="minor"/>
      </rPr>
      <t>Results</t>
    </r>
  </si>
  <si>
    <t>Résultat
(C / NC)</t>
  </si>
  <si>
    <t>REVISIONS</t>
  </si>
  <si>
    <t>Réference</t>
  </si>
  <si>
    <t>Révision</t>
  </si>
  <si>
    <t>Description</t>
  </si>
  <si>
    <t>Auteur</t>
  </si>
  <si>
    <t>01</t>
  </si>
  <si>
    <t>02</t>
  </si>
  <si>
    <t>JSO</t>
  </si>
  <si>
    <t>03</t>
  </si>
  <si>
    <r>
      <t xml:space="preserve">MODELE PV CONTRÔLE / </t>
    </r>
    <r>
      <rPr>
        <b/>
        <sz val="14"/>
        <color rgb="FF0070C0"/>
        <rFont val="Arial"/>
        <family val="2"/>
      </rPr>
      <t>TEMPLATE ACCEPTANCE TEST REPORT</t>
    </r>
  </si>
  <si>
    <t>XGA</t>
  </si>
  <si>
    <t>Création du template de PV de contrôle</t>
  </si>
  <si>
    <t>VISA RESPONSABLE QUALITE</t>
  </si>
  <si>
    <t>00000001-AQ-0048</t>
  </si>
  <si>
    <t>Moyens</t>
  </si>
  <si>
    <t>Palmer</t>
  </si>
  <si>
    <t>Pied à Coulisse</t>
  </si>
  <si>
    <t>Colonne de mesure</t>
  </si>
  <si>
    <t>Tridimensionnelle</t>
  </si>
  <si>
    <t>Evolution : ajouts de champs manquant dans les entête et réorganisation du tableau des relevés de mesures</t>
  </si>
  <si>
    <t>Point de contrôle</t>
  </si>
  <si>
    <t>Valeur nominale</t>
  </si>
  <si>
    <t>Evolution :
Modification de la mise en page</t>
  </si>
  <si>
    <t>Changement de numérotation</t>
  </si>
  <si>
    <t>GSM</t>
  </si>
  <si>
    <t>00000001-AQ-0095</t>
  </si>
  <si>
    <r>
      <rPr>
        <b/>
        <sz val="14"/>
        <color theme="1"/>
        <rFont val="Calibri"/>
        <family val="2"/>
        <scheme val="minor"/>
      </rPr>
      <t>Quantité fabriqué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/
Manufactured qty</t>
    </r>
  </si>
  <si>
    <r>
      <rPr>
        <b/>
        <sz val="14"/>
        <color theme="1"/>
        <rFont val="Calibri"/>
        <family val="2"/>
        <scheme val="minor"/>
      </rPr>
      <t xml:space="preserve">Numéro de lot </t>
    </r>
    <r>
      <rPr>
        <sz val="14"/>
        <color theme="1"/>
        <rFont val="Calibri"/>
        <family val="2"/>
        <scheme val="minor"/>
      </rPr>
      <t>/</t>
    </r>
    <r>
      <rPr>
        <i/>
        <sz val="14"/>
        <color theme="1"/>
        <rFont val="Calibri"/>
        <family val="2"/>
        <scheme val="minor"/>
      </rPr>
      <t xml:space="preserve">
Batch number</t>
    </r>
  </si>
  <si>
    <t>04</t>
  </si>
  <si>
    <t>QUANTITES</t>
  </si>
  <si>
    <t>Modification cartouche "QUANTITE"</t>
  </si>
  <si>
    <r>
      <t>N° :</t>
    </r>
    <r>
      <rPr>
        <b/>
        <sz val="11"/>
        <color theme="1"/>
        <rFont val="Calibri"/>
        <family val="2"/>
        <scheme val="minor"/>
      </rPr>
      <t xml:space="preserve"> </t>
    </r>
  </si>
  <si>
    <t>Caractéristique</t>
  </si>
  <si>
    <r>
      <t>N° :</t>
    </r>
    <r>
      <rPr>
        <b/>
        <sz val="10"/>
        <color theme="1"/>
        <rFont val="Calibri"/>
        <family val="2"/>
        <scheme val="minor"/>
      </rPr>
      <t xml:space="preserve">D06-0016-AH-000-CTRL-TIGE 7.62 </t>
    </r>
  </si>
  <si>
    <t>AH-000</t>
  </si>
  <si>
    <t xml:space="preserve">TIGE 7.62 </t>
  </si>
  <si>
    <t>Cote</t>
  </si>
  <si>
    <t>Ø</t>
  </si>
  <si>
    <t xml:space="preserve"> f6</t>
  </si>
  <si>
    <t>Ø f6</t>
  </si>
  <si>
    <t>Ø h7</t>
  </si>
  <si>
    <t>cote contrôle</t>
  </si>
  <si>
    <t>Ø h6</t>
  </si>
  <si>
    <t>4 X Fentes            à 90°</t>
  </si>
  <si>
    <t>Gravure</t>
  </si>
  <si>
    <t>trempe</t>
  </si>
  <si>
    <t>Phosphatation</t>
  </si>
  <si>
    <t>#01
Après rectif</t>
  </si>
  <si>
    <t>#02
Après rectif</t>
  </si>
  <si>
    <t>#03
Après rectif</t>
  </si>
  <si>
    <t>#04
Après rectif</t>
  </si>
  <si>
    <t>#05
Après rectif</t>
  </si>
  <si>
    <t>D06-0016
AAF00010</t>
  </si>
  <si>
    <t>4 Eb</t>
  </si>
  <si>
    <t>Pc1
OP1 TCN</t>
  </si>
  <si>
    <t>Pc3
OP1 TCN</t>
  </si>
  <si>
    <t>Pc5
OP1 TCN</t>
  </si>
  <si>
    <t>Pc10
OP1 TCN</t>
  </si>
  <si>
    <t>Pc15
OP1 TCN</t>
  </si>
  <si>
    <t>Pc20
OP1 TCN</t>
  </si>
  <si>
    <t>Pc30
OP1 TCN</t>
  </si>
  <si>
    <t>Pc40
OP1 TCN</t>
  </si>
  <si>
    <t>Pc50
OP1 TCN</t>
  </si>
  <si>
    <t>Pc60
OP1 TCN</t>
  </si>
  <si>
    <t>Pc1
OP2 TCN</t>
  </si>
  <si>
    <t>Pc3
OP2 TCN</t>
  </si>
  <si>
    <t>Pc5
OP2 TCN</t>
  </si>
  <si>
    <t>Pc10
OP2 TCN</t>
  </si>
  <si>
    <t>Pc15
OP2 TCN</t>
  </si>
  <si>
    <t>Pc20
OP2 TCN</t>
  </si>
  <si>
    <t>Pc30
OP2 TCN</t>
  </si>
  <si>
    <t>Pc40
OP2 TCN</t>
  </si>
  <si>
    <t>Pc50
OP2 TCN</t>
  </si>
  <si>
    <t>Pc60
OP2 TCN</t>
  </si>
  <si>
    <t>Pc1
OP3 TCN</t>
  </si>
  <si>
    <t>Pc3
OP3 TCN</t>
  </si>
  <si>
    <t>Pc5
OP3 TCN</t>
  </si>
  <si>
    <t>Pc10
OP3 TCN</t>
  </si>
  <si>
    <t>Pc15
OP3 TCN</t>
  </si>
  <si>
    <t>Pc20
OP3 TCN</t>
  </si>
  <si>
    <t>Pc30
OP3 TCN</t>
  </si>
  <si>
    <t>Pc40
OP3 TCN</t>
  </si>
  <si>
    <t>Pc50
OP3 TCN</t>
  </si>
  <si>
    <t>Pc60
OP3 TCN</t>
  </si>
  <si>
    <t>Eb Ø7,12</t>
  </si>
  <si>
    <t>Eb Ø8,3</t>
  </si>
  <si>
    <t>Eb Ø12 h6</t>
  </si>
  <si>
    <t>Pc 1
Partie Fraisage</t>
  </si>
  <si>
    <t>Pc 3
Partie Fraisage</t>
  </si>
  <si>
    <t>Pc 5
Partie Fraisage</t>
  </si>
  <si>
    <t>Pc 10
Partie Fraisage</t>
  </si>
  <si>
    <t>Pc 15
Partie Fraisage</t>
  </si>
  <si>
    <t>Pc 20
Partie Fraisage</t>
  </si>
  <si>
    <t>Pc 30
Partie Fraisage</t>
  </si>
  <si>
    <t>Pc 40
Partie Fraisage</t>
  </si>
  <si>
    <t>Pc 50
Partie Fraisage</t>
  </si>
  <si>
    <t>Pc 60
Partie Fraisage</t>
  </si>
  <si>
    <t>Cotes de tour à contrôler avant rectif</t>
  </si>
  <si>
    <t>Cotes à contrôler après rectif</t>
  </si>
  <si>
    <r>
      <rPr>
        <b/>
        <sz val="14"/>
        <color theme="1"/>
        <rFont val="Calibri"/>
        <family val="2"/>
        <scheme val="minor"/>
      </rPr>
      <t>Quantité contrôlée</t>
    </r>
    <r>
      <rPr>
        <sz val="14"/>
        <color theme="1"/>
        <rFont val="Calibri"/>
        <family val="2"/>
        <scheme val="minor"/>
      </rPr>
      <t xml:space="preserve"> /
</t>
    </r>
    <r>
      <rPr>
        <i/>
        <sz val="14"/>
        <color theme="1"/>
        <rFont val="Calibri"/>
        <family val="2"/>
        <scheme val="minor"/>
      </rPr>
      <t>Contrôle qty</t>
    </r>
  </si>
  <si>
    <t>#01</t>
  </si>
  <si>
    <t>#02</t>
  </si>
  <si>
    <t>#03</t>
  </si>
  <si>
    <t>#04</t>
  </si>
  <si>
    <t>#05</t>
  </si>
  <si>
    <t>#06</t>
  </si>
  <si>
    <t>#07</t>
  </si>
  <si>
    <t>#08</t>
  </si>
  <si>
    <t>#09</t>
  </si>
  <si>
    <t>#10</t>
  </si>
  <si>
    <t>Cotes de fraisage à contrôler avant rectif</t>
  </si>
  <si>
    <r>
      <t>N° :</t>
    </r>
    <r>
      <rPr>
        <b/>
        <sz val="10"/>
        <color theme="1"/>
        <rFont val="Calibri"/>
        <family val="2"/>
        <scheme val="minor"/>
      </rPr>
      <t>A20-0051-AB-000_TIGE_7,62_MM-CTRL</t>
    </r>
  </si>
  <si>
    <t>A20-0051</t>
  </si>
  <si>
    <t>AB-000</t>
  </si>
  <si>
    <t xml:space="preserve">Ø </t>
  </si>
  <si>
    <t>RA</t>
  </si>
  <si>
    <t>Ra</t>
  </si>
  <si>
    <t>101a</t>
  </si>
  <si>
    <t>101b</t>
  </si>
  <si>
    <t>Rayon</t>
  </si>
  <si>
    <t>Cote ( )</t>
  </si>
  <si>
    <t>Ø 7,61 0/-0,1</t>
  </si>
  <si>
    <t>Ø7,70 ±0,02</t>
  </si>
  <si>
    <t>Ø7 +0,1/0</t>
  </si>
  <si>
    <t>2 Eb</t>
  </si>
  <si>
    <t>Cote 339-40-125-10-10=154</t>
  </si>
  <si>
    <t>Eb Ø 7,61</t>
  </si>
  <si>
    <t>Eb Ø7,62</t>
  </si>
  <si>
    <t>100+2</t>
  </si>
  <si>
    <t>D.BE</t>
  </si>
  <si>
    <t>X10-1599</t>
  </si>
  <si>
    <t>Visuel</t>
  </si>
  <si>
    <t>-</t>
  </si>
  <si>
    <t>X10-0530</t>
  </si>
  <si>
    <t>Outillage</t>
  </si>
  <si>
    <t>Projecteur de profil</t>
  </si>
  <si>
    <t>Piges</t>
  </si>
  <si>
    <t>N°2</t>
  </si>
  <si>
    <t>X10-0527</t>
  </si>
  <si>
    <t>X10-0531</t>
  </si>
  <si>
    <t>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</si>
</sst>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4"/>
      <color rgb="FF0070C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7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0" borderId="48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4" fillId="4" borderId="3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5" borderId="13" xfId="1" applyFont="1" applyFill="1" applyBorder="1" applyAlignment="1">
      <alignment vertical="center" wrapText="1"/>
    </xf>
    <xf numFmtId="0" fontId="8" fillId="6" borderId="30" xfId="1" applyFont="1" applyFill="1" applyBorder="1" applyAlignment="1">
      <alignment vertical="center" wrapText="1"/>
    </xf>
    <xf numFmtId="0" fontId="8" fillId="6" borderId="13" xfId="1" applyFont="1" applyFill="1" applyBorder="1" applyAlignment="1">
      <alignment vertical="center" wrapText="1"/>
    </xf>
    <xf numFmtId="0" fontId="7" fillId="0" borderId="0" xfId="1" applyAlignment="1">
      <alignment vertical="center"/>
    </xf>
    <xf numFmtId="0" fontId="8" fillId="5" borderId="58" xfId="1" applyFont="1" applyFill="1" applyBorder="1" applyAlignment="1">
      <alignment vertical="center" wrapText="1"/>
    </xf>
    <xf numFmtId="0" fontId="8" fillId="6" borderId="57" xfId="1" applyFont="1" applyFill="1" applyBorder="1" applyAlignment="1">
      <alignment vertical="center" wrapText="1"/>
    </xf>
    <xf numFmtId="0" fontId="8" fillId="6" borderId="58" xfId="1" applyFont="1" applyFill="1" applyBorder="1" applyAlignment="1">
      <alignment vertical="center" wrapText="1"/>
    </xf>
    <xf numFmtId="0" fontId="8" fillId="5" borderId="60" xfId="1" applyFont="1" applyFill="1" applyBorder="1" applyAlignment="1">
      <alignment vertical="center" wrapText="1"/>
    </xf>
    <xf numFmtId="0" fontId="8" fillId="6" borderId="59" xfId="1" applyFont="1" applyFill="1" applyBorder="1" applyAlignment="1">
      <alignment vertical="center" wrapText="1"/>
    </xf>
    <xf numFmtId="0" fontId="8" fillId="6" borderId="60" xfId="1" applyFont="1" applyFill="1" applyBorder="1" applyAlignment="1">
      <alignment vertical="center" wrapText="1"/>
    </xf>
    <xf numFmtId="0" fontId="11" fillId="7" borderId="34" xfId="1" applyFont="1" applyFill="1" applyBorder="1" applyAlignment="1">
      <alignment horizontal="center" vertical="center"/>
    </xf>
    <xf numFmtId="0" fontId="11" fillId="7" borderId="35" xfId="1" applyFont="1" applyFill="1" applyBorder="1" applyAlignment="1">
      <alignment horizontal="center" vertical="center"/>
    </xf>
    <xf numFmtId="0" fontId="11" fillId="7" borderId="36" xfId="1" applyFont="1" applyFill="1" applyBorder="1" applyAlignment="1">
      <alignment horizontal="center" vertical="center"/>
    </xf>
    <xf numFmtId="0" fontId="7" fillId="0" borderId="5" xfId="1" applyBorder="1" applyAlignment="1">
      <alignment horizontal="center" vertical="center"/>
    </xf>
    <xf numFmtId="0" fontId="7" fillId="0" borderId="1" xfId="1" quotePrefix="1" applyBorder="1" applyAlignment="1">
      <alignment horizontal="center" vertical="center"/>
    </xf>
    <xf numFmtId="14" fontId="7" fillId="0" borderId="1" xfId="1" applyNumberFormat="1" applyBorder="1" applyAlignment="1">
      <alignment horizontal="center" vertical="center"/>
    </xf>
    <xf numFmtId="0" fontId="7" fillId="0" borderId="6" xfId="1" applyBorder="1" applyAlignment="1">
      <alignment horizontal="center" vertical="center"/>
    </xf>
    <xf numFmtId="0" fontId="7" fillId="0" borderId="63" xfId="1" quotePrefix="1" applyBorder="1" applyAlignment="1">
      <alignment horizontal="center" vertical="center"/>
    </xf>
    <xf numFmtId="14" fontId="7" fillId="0" borderId="63" xfId="1" applyNumberFormat="1" applyBorder="1" applyAlignment="1">
      <alignment horizontal="center" vertical="center"/>
    </xf>
    <xf numFmtId="0" fontId="7" fillId="0" borderId="64" xfId="1" applyBorder="1" applyAlignment="1">
      <alignment horizontal="center" vertical="center"/>
    </xf>
    <xf numFmtId="0" fontId="7" fillId="0" borderId="7" xfId="1" applyBorder="1" applyAlignment="1">
      <alignment horizontal="center" vertical="center"/>
    </xf>
    <xf numFmtId="0" fontId="7" fillId="0" borderId="8" xfId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/>
    <xf numFmtId="0" fontId="1" fillId="0" borderId="20" xfId="0" applyFont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0" fontId="4" fillId="3" borderId="33" xfId="0" applyFont="1" applyFill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14" fontId="15" fillId="0" borderId="11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4" fontId="15" fillId="0" borderId="6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5" fillId="0" borderId="5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center" vertical="center"/>
    </xf>
    <xf numFmtId="4" fontId="15" fillId="0" borderId="9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" fillId="0" borderId="42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4" fontId="14" fillId="0" borderId="35" xfId="0" applyNumberFormat="1" applyFont="1" applyBorder="1" applyAlignment="1">
      <alignment horizontal="center" vertical="center"/>
    </xf>
    <xf numFmtId="0" fontId="1" fillId="0" borderId="41" xfId="0" quotePrefix="1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4" fillId="0" borderId="6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4" fontId="15" fillId="0" borderId="72" xfId="0" applyNumberFormat="1" applyFont="1" applyBorder="1" applyAlignment="1">
      <alignment horizontal="center" vertical="center"/>
    </xf>
    <xf numFmtId="4" fontId="15" fillId="0" borderId="74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center" vertical="center"/>
    </xf>
    <xf numFmtId="164" fontId="15" fillId="0" borderId="70" xfId="0" applyNumberFormat="1" applyFont="1" applyBorder="1" applyAlignment="1">
      <alignment horizontal="center" vertical="center"/>
    </xf>
    <xf numFmtId="164" fontId="15" fillId="0" borderId="72" xfId="0" applyNumberFormat="1" applyFont="1" applyBorder="1" applyAlignment="1">
      <alignment horizontal="center" vertical="center"/>
    </xf>
    <xf numFmtId="164" fontId="15" fillId="0" borderId="7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0" fillId="0" borderId="61" xfId="0" applyBorder="1" applyAlignment="1">
      <alignment vertical="center"/>
    </xf>
    <xf numFmtId="4" fontId="14" fillId="0" borderId="8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15" fillId="0" borderId="56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4" fontId="14" fillId="8" borderId="1" xfId="0" applyNumberFormat="1" applyFont="1" applyFill="1" applyBorder="1" applyAlignment="1">
      <alignment horizontal="center" vertical="center"/>
    </xf>
    <xf numFmtId="4" fontId="15" fillId="8" borderId="1" xfId="0" applyNumberFormat="1" applyFont="1" applyFill="1" applyBorder="1" applyAlignment="1">
      <alignment horizontal="center" vertical="center"/>
    </xf>
    <xf numFmtId="4" fontId="15" fillId="8" borderId="6" xfId="0" applyNumberFormat="1" applyFont="1" applyFill="1" applyBorder="1" applyAlignment="1">
      <alignment horizontal="center" vertical="center"/>
    </xf>
    <xf numFmtId="4" fontId="14" fillId="8" borderId="8" xfId="0" applyNumberFormat="1" applyFont="1" applyFill="1" applyBorder="1" applyAlignment="1">
      <alignment horizontal="center" vertical="center"/>
    </xf>
    <xf numFmtId="4" fontId="15" fillId="8" borderId="8" xfId="0" applyNumberFormat="1" applyFont="1" applyFill="1" applyBorder="1" applyAlignment="1">
      <alignment horizontal="center" vertical="center"/>
    </xf>
    <xf numFmtId="4" fontId="15" fillId="8" borderId="9" xfId="0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75" xfId="0" applyFont="1" applyBorder="1" applyAlignment="1">
      <alignment horizontal="center" vertical="center"/>
    </xf>
    <xf numFmtId="164" fontId="15" fillId="0" borderId="75" xfId="0" applyNumberFormat="1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33" xfId="0" applyFont="1" applyFill="1" applyBorder="1" applyAlignment="1">
      <alignment horizontal="center" vertical="center" wrapText="1"/>
    </xf>
    <xf numFmtId="14" fontId="15" fillId="0" borderId="77" xfId="0" applyNumberFormat="1" applyFont="1" applyBorder="1" applyAlignment="1">
      <alignment horizontal="center" vertical="center"/>
    </xf>
    <xf numFmtId="14" fontId="15" fillId="0" borderId="76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4" fontId="14" fillId="0" borderId="72" xfId="0" applyNumberFormat="1" applyFont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14" fillId="10" borderId="69" xfId="0" applyFont="1" applyFill="1" applyBorder="1" applyAlignment="1">
      <alignment horizontal="center" vertical="center"/>
    </xf>
    <xf numFmtId="0" fontId="14" fillId="10" borderId="70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0" fillId="10" borderId="78" xfId="0" applyFill="1" applyBorder="1" applyAlignment="1">
      <alignment vertical="center"/>
    </xf>
    <xf numFmtId="0" fontId="0" fillId="11" borderId="78" xfId="0" applyFill="1" applyBorder="1" applyAlignment="1">
      <alignment vertical="center"/>
    </xf>
    <xf numFmtId="0" fontId="0" fillId="9" borderId="78" xfId="0" applyFill="1" applyBorder="1" applyAlignment="1">
      <alignment vertical="center"/>
    </xf>
    <xf numFmtId="0" fontId="14" fillId="0" borderId="3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/>
    </xf>
    <xf numFmtId="4" fontId="15" fillId="12" borderId="1" xfId="0" applyNumberFormat="1" applyFont="1" applyFill="1" applyBorder="1" applyAlignment="1">
      <alignment horizontal="center" vertical="center"/>
    </xf>
    <xf numFmtId="4" fontId="15" fillId="12" borderId="6" xfId="0" applyNumberFormat="1" applyFont="1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 wrapText="1"/>
    </xf>
    <xf numFmtId="4" fontId="14" fillId="0" borderId="63" xfId="0" applyNumberFormat="1" applyFont="1" applyBorder="1" applyAlignment="1">
      <alignment horizontal="center" vertical="center"/>
    </xf>
    <xf numFmtId="4" fontId="15" fillId="0" borderId="63" xfId="0" applyNumberFormat="1" applyFont="1" applyBorder="1" applyAlignment="1">
      <alignment horizontal="center" vertical="center"/>
    </xf>
    <xf numFmtId="4" fontId="15" fillId="0" borderId="64" xfId="0" applyNumberFormat="1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15" fillId="0" borderId="73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14" fontId="15" fillId="0" borderId="80" xfId="0" applyNumberFormat="1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4" fontId="15" fillId="0" borderId="5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6" xfId="0" quotePrefix="1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2" fontId="15" fillId="0" borderId="70" xfId="0" applyNumberFormat="1" applyFont="1" applyBorder="1" applyAlignment="1">
      <alignment horizontal="center" vertical="center"/>
    </xf>
    <xf numFmtId="2" fontId="15" fillId="0" borderId="72" xfId="0" applyNumberFormat="1" applyFont="1" applyBorder="1" applyAlignment="1">
      <alignment horizontal="center" vertical="center"/>
    </xf>
    <xf numFmtId="2" fontId="15" fillId="0" borderId="71" xfId="0" applyNumberFormat="1" applyFont="1" applyBorder="1" applyAlignment="1">
      <alignment horizontal="center" vertical="center"/>
    </xf>
    <xf numFmtId="2" fontId="15" fillId="0" borderId="75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15" fillId="0" borderId="38" xfId="0" applyNumberFormat="1" applyFont="1" applyBorder="1" applyAlignment="1">
      <alignment horizontal="center" vertical="center"/>
    </xf>
    <xf numFmtId="2" fontId="15" fillId="0" borderId="55" xfId="0" applyNumberFormat="1" applyFont="1" applyBorder="1" applyAlignment="1">
      <alignment horizontal="center" vertical="center"/>
    </xf>
    <xf numFmtId="14" fontId="1" fillId="0" borderId="21" xfId="0" applyNumberFormat="1" applyFont="1" applyBorder="1" applyAlignment="1">
      <alignment vertical="center"/>
    </xf>
    <xf numFmtId="0" fontId="14" fillId="0" borderId="77" xfId="0" applyFont="1" applyBorder="1" applyAlignment="1">
      <alignment horizontal="center" vertical="center"/>
    </xf>
    <xf numFmtId="0" fontId="0" fillId="0" borderId="77" xfId="0" quotePrefix="1" applyBorder="1" applyAlignment="1">
      <alignment horizontal="center" vertical="center"/>
    </xf>
    <xf numFmtId="2" fontId="15" fillId="0" borderId="36" xfId="0" applyNumberFormat="1" applyFont="1" applyBorder="1" applyAlignment="1">
      <alignment horizontal="center" vertical="center"/>
    </xf>
    <xf numFmtId="2" fontId="15" fillId="0" borderId="34" xfId="0" applyNumberFormat="1" applyFont="1" applyBorder="1" applyAlignment="1">
      <alignment horizontal="center" vertical="center"/>
    </xf>
    <xf numFmtId="2" fontId="15" fillId="0" borderId="35" xfId="0" applyNumberFormat="1" applyFont="1" applyBorder="1" applyAlignment="1">
      <alignment horizontal="center" vertical="center"/>
    </xf>
    <xf numFmtId="2" fontId="15" fillId="0" borderId="11" xfId="0" applyNumberFormat="1" applyFont="1" applyBorder="1" applyAlignment="1">
      <alignment horizontal="center" vertical="center"/>
    </xf>
    <xf numFmtId="0" fontId="1" fillId="0" borderId="77" xfId="0" quotePrefix="1" applyFont="1" applyBorder="1" applyAlignment="1">
      <alignment horizontal="center" vertical="center"/>
    </xf>
    <xf numFmtId="0" fontId="1" fillId="0" borderId="76" xfId="0" quotePrefix="1" applyFont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" fillId="0" borderId="50" xfId="0" quotePrefix="1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/>
    </xf>
    <xf numFmtId="0" fontId="16" fillId="0" borderId="44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left" vertical="center" wrapText="1"/>
    </xf>
    <xf numFmtId="0" fontId="3" fillId="0" borderId="20" xfId="0" applyFont="1" applyBorder="1" applyAlignment="1">
      <alignment vertical="center" wrapText="1"/>
    </xf>
    <xf numFmtId="0" fontId="3" fillId="0" borderId="40" xfId="0" applyFont="1" applyBorder="1" applyAlignment="1">
      <alignment vertical="center"/>
    </xf>
    <xf numFmtId="0" fontId="3" fillId="0" borderId="52" xfId="0" applyFont="1" applyBorder="1" applyAlignment="1">
      <alignment vertical="center" wrapText="1"/>
    </xf>
    <xf numFmtId="0" fontId="3" fillId="0" borderId="53" xfId="0" applyFont="1" applyBorder="1" applyAlignment="1">
      <alignment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43" xfId="0" applyFont="1" applyBorder="1" applyAlignment="1">
      <alignment vertical="center"/>
    </xf>
    <xf numFmtId="0" fontId="3" fillId="0" borderId="21" xfId="0" applyFont="1" applyBorder="1" applyAlignment="1">
      <alignment vertical="center" wrapText="1"/>
    </xf>
    <xf numFmtId="0" fontId="3" fillId="0" borderId="48" xfId="0" applyFont="1" applyBorder="1" applyAlignment="1">
      <alignment vertical="center" wrapText="1"/>
    </xf>
    <xf numFmtId="0" fontId="3" fillId="0" borderId="54" xfId="0" applyFont="1" applyBorder="1" applyAlignment="1">
      <alignment vertical="center" wrapText="1"/>
    </xf>
    <xf numFmtId="0" fontId="3" fillId="0" borderId="49" xfId="0" applyFont="1" applyBorder="1" applyAlignment="1">
      <alignment vertical="center"/>
    </xf>
    <xf numFmtId="0" fontId="18" fillId="0" borderId="31" xfId="0" applyFont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" fillId="0" borderId="49" xfId="0" applyFont="1" applyBorder="1" applyAlignment="1">
      <alignment vertical="center" wrapText="1"/>
    </xf>
    <xf numFmtId="0" fontId="18" fillId="0" borderId="31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3" fillId="0" borderId="28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26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14" fillId="0" borderId="68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54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14" fontId="1" fillId="0" borderId="21" xfId="0" applyNumberFormat="1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4" fillId="0" borderId="6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4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4" fillId="2" borderId="33" xfId="0" applyFont="1" applyFill="1" applyBorder="1" applyAlignment="1">
      <alignment vertical="center"/>
    </xf>
    <xf numFmtId="0" fontId="14" fillId="9" borderId="69" xfId="0" applyFont="1" applyFill="1" applyBorder="1" applyAlignment="1">
      <alignment horizontal="center" vertical="center"/>
    </xf>
    <xf numFmtId="0" fontId="14" fillId="9" borderId="70" xfId="0" applyFont="1" applyFill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" fillId="4" borderId="31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53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7" fillId="0" borderId="62" xfId="1" applyBorder="1" applyAlignment="1">
      <alignment vertical="center" wrapText="1"/>
    </xf>
    <xf numFmtId="0" fontId="7" fillId="0" borderId="55" xfId="1" applyBorder="1" applyAlignment="1">
      <alignment vertical="center" wrapText="1"/>
    </xf>
    <xf numFmtId="0" fontId="7" fillId="0" borderId="38" xfId="1" applyBorder="1" applyAlignment="1">
      <alignment vertical="center" wrapText="1"/>
    </xf>
    <xf numFmtId="0" fontId="7" fillId="0" borderId="65" xfId="1" applyBorder="1" applyAlignment="1">
      <alignment vertical="center" wrapText="1"/>
    </xf>
    <xf numFmtId="0" fontId="7" fillId="0" borderId="56" xfId="1" applyBorder="1" applyAlignment="1">
      <alignment vertical="center" wrapText="1"/>
    </xf>
    <xf numFmtId="0" fontId="7" fillId="0" borderId="39" xfId="1" applyBorder="1" applyAlignment="1">
      <alignment vertical="center" wrapText="1"/>
    </xf>
    <xf numFmtId="0" fontId="8" fillId="5" borderId="30" xfId="1" applyFont="1" applyFill="1" applyBorder="1" applyAlignment="1">
      <alignment horizontal="center" vertical="center" wrapText="1"/>
    </xf>
    <xf numFmtId="0" fontId="8" fillId="5" borderId="57" xfId="1" applyFont="1" applyFill="1" applyBorder="1" applyAlignment="1">
      <alignment horizontal="center" vertical="center" wrapText="1"/>
    </xf>
    <xf numFmtId="0" fontId="8" fillId="5" borderId="59" xfId="1" applyFont="1" applyFill="1" applyBorder="1" applyAlignment="1">
      <alignment horizontal="center" vertical="center" wrapText="1"/>
    </xf>
    <xf numFmtId="0" fontId="8" fillId="6" borderId="30" xfId="1" applyFont="1" applyFill="1" applyBorder="1" applyAlignment="1">
      <alignment horizontal="center" vertical="center" wrapText="1"/>
    </xf>
    <xf numFmtId="0" fontId="8" fillId="6" borderId="12" xfId="1" applyFont="1" applyFill="1" applyBorder="1" applyAlignment="1">
      <alignment horizontal="center" vertical="center" wrapText="1"/>
    </xf>
    <xf numFmtId="0" fontId="8" fillId="6" borderId="57" xfId="1" applyFont="1" applyFill="1" applyBorder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0" fontId="8" fillId="6" borderId="59" xfId="1" applyFont="1" applyFill="1" applyBorder="1" applyAlignment="1">
      <alignment horizontal="center" vertical="center" wrapText="1"/>
    </xf>
    <xf numFmtId="0" fontId="8" fillId="6" borderId="61" xfId="1" applyFont="1" applyFill="1" applyBorder="1" applyAlignment="1">
      <alignment horizontal="center" vertical="center" wrapText="1"/>
    </xf>
    <xf numFmtId="0" fontId="10" fillId="7" borderId="31" xfId="1" applyFont="1" applyFill="1" applyBorder="1" applyAlignment="1">
      <alignment vertical="center"/>
    </xf>
    <xf numFmtId="0" fontId="10" fillId="7" borderId="32" xfId="1" applyFont="1" applyFill="1" applyBorder="1" applyAlignment="1">
      <alignment vertical="center"/>
    </xf>
    <xf numFmtId="0" fontId="10" fillId="7" borderId="33" xfId="1" applyFont="1" applyFill="1" applyBorder="1" applyAlignment="1">
      <alignment vertical="center"/>
    </xf>
    <xf numFmtId="0" fontId="11" fillId="7" borderId="3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B37F90D3-20C6-4FA5-8A7C-A14436D341CB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297654</xdr:colOff>
      <xdr:row>0</xdr:row>
      <xdr:rowOff>142873</xdr:rowOff>
    </xdr:from>
    <xdr:to>
      <xdr:col>1</xdr:col>
      <xdr:colOff>360559</xdr:colOff>
      <xdr:row>2</xdr:row>
      <xdr:rowOff>171885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249BE1F-6342-41F0-B4BD-1E8BBA21C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54" y="142873"/>
          <a:ext cx="1301155" cy="5528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03_GED\03-02_GED\Mod&#232;les\00000001-AQ-0008-01_Template_Etats_Confi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03_GED\03-02_GED\Mod&#232;les\00000001-AQ-0042-05_Template_Chiffrage_Fimalex.xlt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Administration"/>
      <sheetName val="Révisions"/>
      <sheetName val="MD"/>
      <sheetName val="Data"/>
    </sheetNames>
    <sheetDataSet>
      <sheetData sheetId="0"/>
      <sheetData sheetId="1">
        <row r="2">
          <cell r="B2" t="str">
            <v>XYY-ZZZZ</v>
          </cell>
        </row>
        <row r="3">
          <cell r="B3" t="str">
            <v>Désignation</v>
          </cell>
        </row>
        <row r="4">
          <cell r="B4" t="str">
            <v>01</v>
          </cell>
        </row>
        <row r="5">
          <cell r="B5" t="str">
            <v>XYY-ZZZZ-NOM-01</v>
          </cell>
        </row>
        <row r="6">
          <cell r="B6" t="str">
            <v>jj/mm/aaaa</v>
          </cell>
        </row>
      </sheetData>
      <sheetData sheetId="2"/>
      <sheetData sheetId="3"/>
      <sheetData sheetId="4">
        <row r="2">
          <cell r="A2" t="str">
            <v>CON</v>
          </cell>
          <cell r="E2">
            <v>1</v>
          </cell>
          <cell r="G2" t="str">
            <v>P</v>
          </cell>
          <cell r="I2">
            <v>1</v>
          </cell>
        </row>
        <row r="3">
          <cell r="A3" t="str">
            <v>DOC</v>
          </cell>
          <cell r="E3">
            <v>2</v>
          </cell>
          <cell r="G3" t="str">
            <v>M</v>
          </cell>
          <cell r="I3">
            <v>2</v>
          </cell>
        </row>
        <row r="4">
          <cell r="A4" t="str">
            <v>ELE</v>
          </cell>
          <cell r="E4">
            <v>3</v>
          </cell>
          <cell r="G4" t="str">
            <v>--</v>
          </cell>
          <cell r="I4">
            <v>3</v>
          </cell>
        </row>
        <row r="5">
          <cell r="A5" t="str">
            <v>LOG</v>
          </cell>
          <cell r="E5">
            <v>4</v>
          </cell>
          <cell r="I5">
            <v>0</v>
          </cell>
        </row>
        <row r="6">
          <cell r="A6" t="str">
            <v>MAR</v>
          </cell>
        </row>
        <row r="7">
          <cell r="A7" t="str">
            <v>MEC</v>
          </cell>
        </row>
        <row r="8">
          <cell r="A8" t="str">
            <v>OPT</v>
          </cell>
        </row>
        <row r="9">
          <cell r="A9" t="str">
            <v>OUT</v>
          </cell>
        </row>
        <row r="10">
          <cell r="A10" t="str">
            <v>PAC</v>
          </cell>
        </row>
        <row r="11">
          <cell r="A11" t="str">
            <v>PFN</v>
          </cell>
        </row>
        <row r="12">
          <cell r="A12" t="str">
            <v>SPE</v>
          </cell>
        </row>
        <row r="13">
          <cell r="A13" t="str">
            <v>SSE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frage"/>
      <sheetName val="MD"/>
      <sheetName val="Data"/>
      <sheetName val="Template"/>
    </sheetNames>
    <sheetDataSet>
      <sheetData sheetId="0" refreshError="1"/>
      <sheetData sheetId="1" refreshError="1"/>
      <sheetData sheetId="2">
        <row r="2">
          <cell r="A2" t="str">
            <v>Débit</v>
          </cell>
          <cell r="B2">
            <v>66</v>
          </cell>
          <cell r="C2">
            <v>66</v>
          </cell>
        </row>
        <row r="3">
          <cell r="A3" t="str">
            <v>Usinage</v>
          </cell>
        </row>
        <row r="4">
          <cell r="A4" t="str">
            <v>Ebavurage</v>
          </cell>
        </row>
        <row r="5">
          <cell r="A5" t="str">
            <v>Ajustage</v>
          </cell>
        </row>
        <row r="6">
          <cell r="A6" t="str">
            <v>Montage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7"/>
  <sheetViews>
    <sheetView showGridLines="0" tabSelected="1" zoomScale="50" zoomScaleNormal="50" zoomScalePageLayoutView="55" workbookViewId="0">
      <selection activeCell="K10" sqref="K10"/>
    </sheetView>
  </sheetViews>
  <sheetFormatPr baseColWidth="10" defaultColWidth="18.5703125" defaultRowHeight="15" x14ac:dyDescent="0.25"/>
  <cols>
    <col min="1" max="1" width="18.5703125" style="1"/>
    <col min="2" max="2" width="18.5703125" style="1" customWidth="1"/>
    <col min="3" max="3" width="20.28515625" style="1" customWidth="1"/>
    <col min="4" max="4" width="18.5703125" style="3"/>
    <col min="5" max="6" width="18.5703125" style="2"/>
    <col min="7" max="16384" width="18.5703125" style="1"/>
  </cols>
  <sheetData>
    <row r="1" spans="1:21" ht="23.25" customHeight="1" thickBot="1" x14ac:dyDescent="0.3">
      <c r="A1" s="185" t="s">
        <v>9</v>
      </c>
      <c r="B1" s="186"/>
      <c r="C1" s="186"/>
      <c r="D1" s="186"/>
      <c r="E1" s="187"/>
      <c r="F1" s="1"/>
      <c r="G1" s="47" t="s">
        <v>10</v>
      </c>
      <c r="H1" s="48"/>
      <c r="I1" s="48"/>
      <c r="J1" s="49"/>
      <c r="K1" s="114"/>
      <c r="L1" s="114"/>
      <c r="M1" s="114"/>
      <c r="N1" s="114"/>
      <c r="O1" s="114"/>
      <c r="Q1" s="174" t="s">
        <v>62</v>
      </c>
      <c r="R1" s="175"/>
      <c r="S1" s="175"/>
      <c r="T1" s="176"/>
    </row>
    <row r="2" spans="1:21" ht="55.5" customHeight="1" thickBot="1" x14ac:dyDescent="0.3">
      <c r="A2" s="197" t="s">
        <v>11</v>
      </c>
      <c r="B2" s="198"/>
      <c r="C2" s="199"/>
      <c r="D2" s="177" t="s">
        <v>145</v>
      </c>
      <c r="E2" s="178"/>
      <c r="F2" s="1"/>
      <c r="G2" s="183" t="s">
        <v>14</v>
      </c>
      <c r="H2" s="184"/>
      <c r="I2" s="54"/>
      <c r="J2" s="55"/>
      <c r="L2" s="128"/>
      <c r="M2" s="200" t="s">
        <v>130</v>
      </c>
      <c r="N2" s="201"/>
      <c r="O2" s="202"/>
      <c r="Q2" s="197" t="s">
        <v>59</v>
      </c>
      <c r="R2" s="203"/>
      <c r="S2" s="192"/>
      <c r="T2" s="178"/>
    </row>
    <row r="3" spans="1:21" ht="55.5" customHeight="1" thickBot="1" x14ac:dyDescent="0.3">
      <c r="A3" s="181" t="s">
        <v>12</v>
      </c>
      <c r="B3" s="196"/>
      <c r="C3" s="182"/>
      <c r="D3" s="76" t="s">
        <v>146</v>
      </c>
      <c r="E3" s="73"/>
      <c r="F3" s="1"/>
      <c r="G3" s="181" t="s">
        <v>15</v>
      </c>
      <c r="H3" s="182"/>
      <c r="I3" s="52"/>
      <c r="J3" s="53"/>
      <c r="L3" s="129"/>
      <c r="M3" s="204" t="s">
        <v>143</v>
      </c>
      <c r="N3" s="205"/>
      <c r="O3" s="206"/>
      <c r="Q3" s="181" t="s">
        <v>60</v>
      </c>
      <c r="R3" s="182"/>
      <c r="S3" s="190"/>
      <c r="T3" s="191"/>
    </row>
    <row r="4" spans="1:21" ht="55.5" customHeight="1" thickBot="1" x14ac:dyDescent="0.3">
      <c r="A4" s="193" t="s">
        <v>13</v>
      </c>
      <c r="B4" s="194"/>
      <c r="C4" s="195"/>
      <c r="D4" s="179" t="s">
        <v>68</v>
      </c>
      <c r="E4" s="180"/>
      <c r="F4" s="1"/>
      <c r="G4" s="193" t="s">
        <v>16</v>
      </c>
      <c r="H4" s="195"/>
      <c r="I4" s="50"/>
      <c r="J4" s="51"/>
      <c r="L4" s="130"/>
      <c r="M4" s="204" t="s">
        <v>131</v>
      </c>
      <c r="N4" s="205"/>
      <c r="O4" s="206"/>
      <c r="Q4" s="193" t="s">
        <v>132</v>
      </c>
      <c r="R4" s="195"/>
      <c r="S4" s="188"/>
      <c r="T4" s="189"/>
    </row>
    <row r="5" spans="1:21" ht="17.45" customHeight="1" thickBot="1" x14ac:dyDescent="0.3">
      <c r="D5" s="1"/>
      <c r="E5" s="1"/>
      <c r="F5" s="1"/>
    </row>
    <row r="6" spans="1:21" s="2" customFormat="1" ht="23.25" customHeight="1" x14ac:dyDescent="0.25">
      <c r="A6" s="219" t="s">
        <v>27</v>
      </c>
      <c r="B6" s="220"/>
      <c r="C6" s="220"/>
      <c r="D6" s="220"/>
      <c r="E6" s="220"/>
      <c r="F6" s="220"/>
      <c r="G6" s="220"/>
      <c r="H6" s="220"/>
      <c r="I6" s="220"/>
      <c r="J6" s="221"/>
      <c r="K6" s="114"/>
      <c r="L6" s="114"/>
      <c r="M6" s="114"/>
      <c r="N6" s="114"/>
      <c r="O6" s="114"/>
      <c r="S6" s="20"/>
      <c r="T6" s="20"/>
      <c r="U6" s="20"/>
    </row>
    <row r="7" spans="1:21" ht="42" customHeight="1" x14ac:dyDescent="0.25">
      <c r="A7" s="212" t="s">
        <v>18</v>
      </c>
      <c r="B7" s="213"/>
      <c r="C7" s="213"/>
      <c r="D7" s="214"/>
      <c r="E7" s="4" t="s">
        <v>1</v>
      </c>
      <c r="F7" s="207" t="s">
        <v>144</v>
      </c>
      <c r="G7" s="208"/>
      <c r="H7" s="209"/>
      <c r="I7" s="10"/>
      <c r="J7" s="5"/>
      <c r="K7" s="2"/>
      <c r="L7" s="2"/>
      <c r="M7" s="2"/>
      <c r="N7" s="2"/>
      <c r="O7" s="2"/>
      <c r="P7" s="2"/>
      <c r="Q7" s="2"/>
    </row>
    <row r="8" spans="1:21" ht="42" customHeight="1" x14ac:dyDescent="0.25">
      <c r="A8" s="181" t="s">
        <v>19</v>
      </c>
      <c r="B8" s="196"/>
      <c r="C8" s="196"/>
      <c r="D8" s="211"/>
      <c r="E8" s="6" t="s">
        <v>1</v>
      </c>
      <c r="F8" s="217" t="s">
        <v>64</v>
      </c>
      <c r="G8" s="217"/>
      <c r="H8" s="218"/>
      <c r="I8" s="11"/>
      <c r="J8" s="7"/>
      <c r="K8" s="2"/>
      <c r="L8" s="2"/>
      <c r="M8" s="247"/>
      <c r="N8" s="247"/>
      <c r="O8" s="247"/>
      <c r="P8" s="247"/>
      <c r="Q8" s="247"/>
      <c r="R8" s="247"/>
      <c r="S8" s="247"/>
    </row>
    <row r="9" spans="1:21" ht="42" customHeight="1" x14ac:dyDescent="0.25">
      <c r="A9" s="181" t="s">
        <v>20</v>
      </c>
      <c r="B9" s="196"/>
      <c r="C9" s="196"/>
      <c r="D9" s="211"/>
      <c r="E9" s="6" t="s">
        <v>1</v>
      </c>
      <c r="F9" s="217" t="s">
        <v>2</v>
      </c>
      <c r="G9" s="217"/>
      <c r="H9" s="218"/>
      <c r="I9" s="11"/>
      <c r="J9" s="7"/>
      <c r="K9" s="2"/>
      <c r="L9" s="2"/>
      <c r="M9" s="247"/>
      <c r="N9" s="247"/>
      <c r="O9" s="247"/>
      <c r="P9" s="247"/>
      <c r="Q9" s="247"/>
      <c r="R9" s="247"/>
      <c r="S9" s="247"/>
    </row>
    <row r="10" spans="1:21" ht="42" customHeight="1" x14ac:dyDescent="0.25">
      <c r="A10" s="181" t="s">
        <v>21</v>
      </c>
      <c r="B10" s="196"/>
      <c r="C10" s="196"/>
      <c r="D10" s="211"/>
      <c r="E10" s="6" t="s">
        <v>1</v>
      </c>
      <c r="F10" s="217" t="s">
        <v>2</v>
      </c>
      <c r="G10" s="217"/>
      <c r="H10" s="218"/>
      <c r="I10" s="11"/>
      <c r="J10" s="7" t="s">
        <v>5</v>
      </c>
      <c r="K10" s="2"/>
      <c r="L10" s="2"/>
      <c r="M10" s="247"/>
      <c r="N10" s="247"/>
      <c r="O10" s="247"/>
      <c r="P10" s="247"/>
      <c r="Q10" s="247"/>
      <c r="R10" s="247"/>
      <c r="S10" s="247"/>
    </row>
    <row r="11" spans="1:21" ht="42" customHeight="1" thickBot="1" x14ac:dyDescent="0.3">
      <c r="A11" s="193" t="s">
        <v>22</v>
      </c>
      <c r="B11" s="194"/>
      <c r="C11" s="194"/>
      <c r="D11" s="210"/>
      <c r="E11" s="8" t="s">
        <v>1</v>
      </c>
      <c r="F11" s="215" t="s">
        <v>2</v>
      </c>
      <c r="G11" s="215"/>
      <c r="H11" s="216"/>
      <c r="I11" s="12"/>
      <c r="J11" s="9" t="s">
        <v>5</v>
      </c>
      <c r="K11" s="2"/>
      <c r="L11" s="2"/>
      <c r="M11" s="2"/>
      <c r="N11" s="2"/>
      <c r="O11" s="2"/>
      <c r="P11" s="2"/>
      <c r="Q11" s="2"/>
    </row>
    <row r="12" spans="1:21" ht="18" customHeight="1" thickBot="1" x14ac:dyDescent="0.3">
      <c r="D12" s="1"/>
      <c r="E12" s="1"/>
      <c r="F12" s="1"/>
    </row>
    <row r="13" spans="1:21" ht="24" customHeight="1" thickBot="1" x14ac:dyDescent="0.3">
      <c r="A13" s="185" t="s">
        <v>28</v>
      </c>
      <c r="B13" s="186"/>
      <c r="C13" s="186"/>
      <c r="D13" s="186"/>
      <c r="E13" s="187"/>
      <c r="F13" s="47" t="s">
        <v>29</v>
      </c>
      <c r="G13" s="48"/>
      <c r="H13" s="48"/>
      <c r="I13" s="48"/>
      <c r="J13" s="48"/>
      <c r="K13" s="48"/>
      <c r="L13" s="48"/>
      <c r="M13" s="48"/>
      <c r="N13" s="48"/>
      <c r="O13" s="48"/>
      <c r="P13" s="185" t="s">
        <v>30</v>
      </c>
      <c r="Q13" s="186"/>
      <c r="R13" s="186"/>
      <c r="S13" s="185" t="s">
        <v>31</v>
      </c>
      <c r="T13" s="186"/>
      <c r="U13" s="187"/>
    </row>
    <row r="14" spans="1:21" ht="45" customHeight="1" thickBot="1" x14ac:dyDescent="0.3">
      <c r="A14" s="13" t="s">
        <v>53</v>
      </c>
      <c r="B14" s="14" t="s">
        <v>65</v>
      </c>
      <c r="C14" s="14" t="s">
        <v>54</v>
      </c>
      <c r="D14" s="15" t="s">
        <v>3</v>
      </c>
      <c r="E14" s="16" t="s">
        <v>4</v>
      </c>
      <c r="F14" s="13" t="s">
        <v>133</v>
      </c>
      <c r="G14" s="14" t="s">
        <v>134</v>
      </c>
      <c r="H14" s="14" t="s">
        <v>135</v>
      </c>
      <c r="I14" s="14" t="s">
        <v>136</v>
      </c>
      <c r="J14" s="14" t="s">
        <v>137</v>
      </c>
      <c r="K14" s="14" t="s">
        <v>138</v>
      </c>
      <c r="L14" s="14" t="s">
        <v>139</v>
      </c>
      <c r="M14" s="14" t="s">
        <v>140</v>
      </c>
      <c r="N14" s="14" t="s">
        <v>141</v>
      </c>
      <c r="O14" s="14" t="s">
        <v>142</v>
      </c>
      <c r="P14" s="248" t="s">
        <v>7</v>
      </c>
      <c r="Q14" s="249"/>
      <c r="R14" s="15" t="s">
        <v>8</v>
      </c>
      <c r="S14" s="13" t="s">
        <v>6</v>
      </c>
      <c r="T14" s="19" t="s">
        <v>0</v>
      </c>
      <c r="U14" s="16" t="s">
        <v>32</v>
      </c>
    </row>
    <row r="15" spans="1:21" ht="44.25" customHeight="1" x14ac:dyDescent="0.25">
      <c r="A15" s="121">
        <v>1</v>
      </c>
      <c r="B15" s="83" t="s">
        <v>69</v>
      </c>
      <c r="C15" s="75">
        <v>339</v>
      </c>
      <c r="D15" s="148">
        <f>C15-0.2</f>
        <v>338.8</v>
      </c>
      <c r="E15" s="168">
        <f>C15+0.2</f>
        <v>339.2</v>
      </c>
      <c r="F15" s="169"/>
      <c r="G15" s="170"/>
      <c r="H15" s="170"/>
      <c r="I15" s="170"/>
      <c r="J15" s="170"/>
      <c r="K15" s="170"/>
      <c r="L15" s="170"/>
      <c r="M15" s="170"/>
      <c r="N15" s="170"/>
      <c r="O15" s="171"/>
      <c r="P15" s="250" t="s">
        <v>50</v>
      </c>
      <c r="Q15" s="251"/>
      <c r="R15" s="152" t="s">
        <v>171</v>
      </c>
      <c r="S15" s="153"/>
      <c r="T15" s="58"/>
      <c r="U15" s="59"/>
    </row>
    <row r="16" spans="1:21" ht="44.25" customHeight="1" x14ac:dyDescent="0.25">
      <c r="A16" s="241">
        <f>A15+1</f>
        <v>2</v>
      </c>
      <c r="B16" s="84" t="s">
        <v>69</v>
      </c>
      <c r="C16" s="60">
        <v>7.7</v>
      </c>
      <c r="D16" s="87">
        <f>C16-0.02</f>
        <v>7.6800000000000006</v>
      </c>
      <c r="E16" s="88">
        <f>C16+0.02</f>
        <v>7.72</v>
      </c>
      <c r="F16" s="157"/>
      <c r="G16" s="158"/>
      <c r="H16" s="158"/>
      <c r="I16" s="158"/>
      <c r="J16" s="159"/>
      <c r="K16" s="159"/>
      <c r="L16" s="159"/>
      <c r="M16" s="159"/>
      <c r="N16" s="159"/>
      <c r="O16" s="160"/>
      <c r="P16" s="222" t="s">
        <v>48</v>
      </c>
      <c r="Q16" s="223"/>
      <c r="R16" s="154" t="s">
        <v>163</v>
      </c>
      <c r="S16" s="109"/>
      <c r="T16" s="65"/>
      <c r="U16" s="66"/>
    </row>
    <row r="17" spans="1:21" ht="44.25" customHeight="1" x14ac:dyDescent="0.25">
      <c r="A17" s="242"/>
      <c r="B17" s="84" t="s">
        <v>149</v>
      </c>
      <c r="C17" s="60">
        <v>0.4</v>
      </c>
      <c r="D17" s="87">
        <v>0</v>
      </c>
      <c r="E17" s="88">
        <v>0.4</v>
      </c>
      <c r="F17" s="157"/>
      <c r="G17" s="158"/>
      <c r="H17" s="158"/>
      <c r="I17" s="158"/>
      <c r="J17" s="158"/>
      <c r="K17" s="158"/>
      <c r="L17" s="158"/>
      <c r="M17" s="158"/>
      <c r="N17" s="159"/>
      <c r="O17" s="160"/>
      <c r="P17" s="222" t="s">
        <v>164</v>
      </c>
      <c r="Q17" s="223"/>
      <c r="R17" s="155" t="s">
        <v>165</v>
      </c>
      <c r="S17" s="109"/>
      <c r="T17" s="65"/>
      <c r="U17" s="66"/>
    </row>
    <row r="18" spans="1:21" ht="44.25" customHeight="1" x14ac:dyDescent="0.25">
      <c r="A18" s="122">
        <f>A16+1</f>
        <v>3</v>
      </c>
      <c r="B18" s="84" t="s">
        <v>70</v>
      </c>
      <c r="C18" s="60">
        <v>7</v>
      </c>
      <c r="D18" s="61">
        <f>C18</f>
        <v>7</v>
      </c>
      <c r="E18" s="62">
        <f>C18+0.1</f>
        <v>7.1</v>
      </c>
      <c r="F18" s="157"/>
      <c r="G18" s="158"/>
      <c r="H18" s="158"/>
      <c r="I18" s="158"/>
      <c r="J18" s="159"/>
      <c r="K18" s="159"/>
      <c r="L18" s="159"/>
      <c r="M18" s="159"/>
      <c r="N18" s="159"/>
      <c r="O18" s="160"/>
      <c r="P18" s="222" t="s">
        <v>49</v>
      </c>
      <c r="Q18" s="223"/>
      <c r="R18" s="154" t="s">
        <v>166</v>
      </c>
      <c r="S18" s="109"/>
      <c r="T18" s="65"/>
      <c r="U18" s="66"/>
    </row>
    <row r="19" spans="1:21" ht="44.25" customHeight="1" x14ac:dyDescent="0.25">
      <c r="A19" s="123">
        <f t="shared" ref="A19:A33" si="0">A18+1</f>
        <v>4</v>
      </c>
      <c r="B19" s="84" t="s">
        <v>70</v>
      </c>
      <c r="C19" s="60">
        <v>7.61</v>
      </c>
      <c r="D19" s="89">
        <f>C19-0.1</f>
        <v>7.5100000000000007</v>
      </c>
      <c r="E19" s="90">
        <f>C19</f>
        <v>7.61</v>
      </c>
      <c r="F19" s="157"/>
      <c r="G19" s="158"/>
      <c r="H19" s="158"/>
      <c r="I19" s="158"/>
      <c r="J19" s="159"/>
      <c r="K19" s="159"/>
      <c r="L19" s="159"/>
      <c r="M19" s="159"/>
      <c r="N19" s="159"/>
      <c r="O19" s="160"/>
      <c r="P19" s="222" t="s">
        <v>49</v>
      </c>
      <c r="Q19" s="223"/>
      <c r="R19" s="154" t="s">
        <v>166</v>
      </c>
      <c r="S19" s="109"/>
      <c r="T19" s="65"/>
      <c r="U19" s="66"/>
    </row>
    <row r="20" spans="1:21" ht="44.25" customHeight="1" x14ac:dyDescent="0.25">
      <c r="A20" s="122">
        <f t="shared" si="0"/>
        <v>5</v>
      </c>
      <c r="B20" s="84" t="s">
        <v>70</v>
      </c>
      <c r="C20" s="60">
        <v>7</v>
      </c>
      <c r="D20" s="61">
        <f>C20-0.2</f>
        <v>6.8</v>
      </c>
      <c r="E20" s="62">
        <f>C20-0.1</f>
        <v>6.9</v>
      </c>
      <c r="F20" s="157"/>
      <c r="G20" s="158"/>
      <c r="H20" s="158"/>
      <c r="I20" s="158"/>
      <c r="J20" s="159"/>
      <c r="K20" s="159"/>
      <c r="L20" s="159"/>
      <c r="M20" s="159"/>
      <c r="N20" s="159"/>
      <c r="O20" s="160"/>
      <c r="P20" s="222" t="s">
        <v>49</v>
      </c>
      <c r="Q20" s="223"/>
      <c r="R20" s="154" t="s">
        <v>166</v>
      </c>
      <c r="S20" s="109"/>
      <c r="T20" s="65"/>
      <c r="U20" s="66"/>
    </row>
    <row r="21" spans="1:21" ht="44.25" customHeight="1" x14ac:dyDescent="0.25">
      <c r="A21" s="123">
        <f t="shared" si="0"/>
        <v>6</v>
      </c>
      <c r="B21" s="84" t="s">
        <v>70</v>
      </c>
      <c r="C21" s="60">
        <v>7.12</v>
      </c>
      <c r="D21" s="61">
        <f>C21-0.05</f>
        <v>7.07</v>
      </c>
      <c r="E21" s="62">
        <f>C21+0.05</f>
        <v>7.17</v>
      </c>
      <c r="F21" s="157"/>
      <c r="G21" s="158"/>
      <c r="H21" s="158"/>
      <c r="I21" s="158"/>
      <c r="J21" s="159"/>
      <c r="K21" s="159"/>
      <c r="L21" s="159"/>
      <c r="M21" s="159"/>
      <c r="N21" s="159"/>
      <c r="O21" s="160"/>
      <c r="P21" s="222" t="s">
        <v>49</v>
      </c>
      <c r="Q21" s="223"/>
      <c r="R21" s="154" t="s">
        <v>166</v>
      </c>
      <c r="S21" s="109"/>
      <c r="T21" s="65"/>
      <c r="U21" s="66"/>
    </row>
    <row r="22" spans="1:21" ht="44.25" customHeight="1" x14ac:dyDescent="0.25">
      <c r="A22" s="241">
        <f t="shared" si="0"/>
        <v>7</v>
      </c>
      <c r="B22" s="84" t="s">
        <v>147</v>
      </c>
      <c r="C22" s="60">
        <v>7.62</v>
      </c>
      <c r="D22" s="89">
        <f>C22</f>
        <v>7.62</v>
      </c>
      <c r="E22" s="90">
        <f>C22+0.05</f>
        <v>7.67</v>
      </c>
      <c r="F22" s="157"/>
      <c r="G22" s="158"/>
      <c r="H22" s="158"/>
      <c r="I22" s="158"/>
      <c r="J22" s="159"/>
      <c r="K22" s="159"/>
      <c r="L22" s="159"/>
      <c r="M22" s="159"/>
      <c r="N22" s="159"/>
      <c r="O22" s="160"/>
      <c r="P22" s="222" t="s">
        <v>49</v>
      </c>
      <c r="Q22" s="223"/>
      <c r="R22" s="154" t="s">
        <v>166</v>
      </c>
      <c r="S22" s="109"/>
      <c r="T22" s="65"/>
      <c r="U22" s="66"/>
    </row>
    <row r="23" spans="1:21" ht="44.25" customHeight="1" x14ac:dyDescent="0.25">
      <c r="A23" s="242"/>
      <c r="B23" s="84" t="s">
        <v>149</v>
      </c>
      <c r="C23" s="60">
        <v>0.4</v>
      </c>
      <c r="D23" s="89">
        <v>0</v>
      </c>
      <c r="E23" s="90">
        <v>0.4</v>
      </c>
      <c r="F23" s="157"/>
      <c r="G23" s="158"/>
      <c r="H23" s="158"/>
      <c r="I23" s="158"/>
      <c r="J23" s="158"/>
      <c r="K23" s="158"/>
      <c r="L23" s="158"/>
      <c r="M23" s="158"/>
      <c r="N23" s="159"/>
      <c r="O23" s="160"/>
      <c r="P23" s="222" t="s">
        <v>164</v>
      </c>
      <c r="Q23" s="223"/>
      <c r="R23" s="155" t="s">
        <v>165</v>
      </c>
      <c r="S23" s="109"/>
      <c r="T23" s="65"/>
      <c r="U23" s="66"/>
    </row>
    <row r="24" spans="1:21" ht="44.25" customHeight="1" x14ac:dyDescent="0.25">
      <c r="A24" s="123">
        <f>A22+1</f>
        <v>8</v>
      </c>
      <c r="B24" s="84" t="s">
        <v>74</v>
      </c>
      <c r="C24" s="60">
        <v>100</v>
      </c>
      <c r="D24" s="61">
        <f>C24</f>
        <v>100</v>
      </c>
      <c r="E24" s="62">
        <f>C24+2</f>
        <v>102</v>
      </c>
      <c r="F24" s="157"/>
      <c r="G24" s="158"/>
      <c r="H24" s="158"/>
      <c r="I24" s="158"/>
      <c r="J24" s="158"/>
      <c r="K24" s="158"/>
      <c r="L24" s="158"/>
      <c r="M24" s="158"/>
      <c r="N24" s="159"/>
      <c r="O24" s="160"/>
      <c r="P24" s="222" t="s">
        <v>167</v>
      </c>
      <c r="Q24" s="223"/>
      <c r="R24" s="155" t="s">
        <v>165</v>
      </c>
      <c r="S24" s="109"/>
      <c r="T24" s="65"/>
      <c r="U24" s="66"/>
    </row>
    <row r="25" spans="1:21" ht="44.25" customHeight="1" x14ac:dyDescent="0.25">
      <c r="A25" s="123">
        <f>A24+1</f>
        <v>9</v>
      </c>
      <c r="B25" s="84" t="s">
        <v>70</v>
      </c>
      <c r="C25" s="60">
        <v>8.3000000000000007</v>
      </c>
      <c r="D25" s="61">
        <f>C25-0.05</f>
        <v>8.25</v>
      </c>
      <c r="E25" s="62">
        <f>C25+0.05</f>
        <v>8.3500000000000014</v>
      </c>
      <c r="F25" s="157"/>
      <c r="G25" s="158"/>
      <c r="H25" s="158"/>
      <c r="I25" s="158"/>
      <c r="J25" s="159"/>
      <c r="K25" s="159"/>
      <c r="L25" s="159"/>
      <c r="M25" s="159"/>
      <c r="N25" s="159"/>
      <c r="O25" s="160"/>
      <c r="P25" s="222" t="s">
        <v>49</v>
      </c>
      <c r="Q25" s="223"/>
      <c r="R25" s="154" t="s">
        <v>166</v>
      </c>
      <c r="S25" s="109"/>
      <c r="T25" s="65"/>
      <c r="U25" s="66"/>
    </row>
    <row r="26" spans="1:21" ht="44.25" customHeight="1" x14ac:dyDescent="0.25">
      <c r="A26" s="124">
        <f t="shared" si="0"/>
        <v>10</v>
      </c>
      <c r="B26" s="84" t="s">
        <v>70</v>
      </c>
      <c r="C26" s="60">
        <v>8</v>
      </c>
      <c r="D26" s="61">
        <f>C26-0.1</f>
        <v>7.9</v>
      </c>
      <c r="E26" s="62">
        <f>C26+0</f>
        <v>8</v>
      </c>
      <c r="F26" s="157"/>
      <c r="G26" s="158"/>
      <c r="H26" s="158"/>
      <c r="I26" s="158"/>
      <c r="J26" s="159"/>
      <c r="K26" s="159"/>
      <c r="L26" s="159"/>
      <c r="M26" s="159"/>
      <c r="N26" s="159"/>
      <c r="O26" s="160"/>
      <c r="P26" s="222" t="s">
        <v>49</v>
      </c>
      <c r="Q26" s="223"/>
      <c r="R26" s="154" t="s">
        <v>166</v>
      </c>
      <c r="S26" s="109"/>
      <c r="T26" s="65"/>
      <c r="U26" s="66"/>
    </row>
    <row r="27" spans="1:21" ht="44.25" customHeight="1" x14ac:dyDescent="0.25">
      <c r="A27" s="124">
        <f t="shared" si="0"/>
        <v>11</v>
      </c>
      <c r="B27" s="84" t="s">
        <v>70</v>
      </c>
      <c r="C27" s="60">
        <v>8.3000000000000007</v>
      </c>
      <c r="D27" s="61">
        <f>C27-0.05</f>
        <v>8.25</v>
      </c>
      <c r="E27" s="62">
        <f>C27+0.05</f>
        <v>8.3500000000000014</v>
      </c>
      <c r="F27" s="157"/>
      <c r="G27" s="158"/>
      <c r="H27" s="158"/>
      <c r="I27" s="158"/>
      <c r="J27" s="159"/>
      <c r="K27" s="159"/>
      <c r="L27" s="159"/>
      <c r="M27" s="159"/>
      <c r="N27" s="159"/>
      <c r="O27" s="160"/>
      <c r="P27" s="222" t="s">
        <v>49</v>
      </c>
      <c r="Q27" s="223"/>
      <c r="R27" s="154" t="s">
        <v>166</v>
      </c>
      <c r="S27" s="109"/>
      <c r="T27" s="65"/>
      <c r="U27" s="66"/>
    </row>
    <row r="28" spans="1:21" ht="44.25" customHeight="1" x14ac:dyDescent="0.25">
      <c r="A28" s="124">
        <f t="shared" si="0"/>
        <v>12</v>
      </c>
      <c r="B28" s="84" t="s">
        <v>69</v>
      </c>
      <c r="C28" s="60">
        <v>66</v>
      </c>
      <c r="D28" s="61">
        <f>C28-0.05</f>
        <v>65.95</v>
      </c>
      <c r="E28" s="62">
        <f>C28+0.05</f>
        <v>66.05</v>
      </c>
      <c r="F28" s="157"/>
      <c r="G28" s="158"/>
      <c r="H28" s="158"/>
      <c r="I28" s="158"/>
      <c r="J28" s="158"/>
      <c r="K28" s="158"/>
      <c r="L28" s="158"/>
      <c r="M28" s="158"/>
      <c r="N28" s="159"/>
      <c r="O28" s="160"/>
      <c r="P28" s="222" t="s">
        <v>49</v>
      </c>
      <c r="Q28" s="223"/>
      <c r="R28" s="154" t="s">
        <v>166</v>
      </c>
      <c r="S28" s="109"/>
      <c r="T28" s="65"/>
      <c r="U28" s="66"/>
    </row>
    <row r="29" spans="1:21" ht="44.25" customHeight="1" x14ac:dyDescent="0.25">
      <c r="A29" s="124">
        <v>13</v>
      </c>
      <c r="B29" s="84" t="s">
        <v>69</v>
      </c>
      <c r="C29" s="60">
        <v>7</v>
      </c>
      <c r="D29" s="61">
        <f t="shared" ref="D29:D35" si="1">C29-0.2</f>
        <v>6.8</v>
      </c>
      <c r="E29" s="62">
        <f t="shared" ref="E29:E35" si="2">C29+0.2</f>
        <v>7.2</v>
      </c>
      <c r="F29" s="157"/>
      <c r="G29" s="158"/>
      <c r="H29" s="158"/>
      <c r="I29" s="158"/>
      <c r="J29" s="158"/>
      <c r="K29" s="158"/>
      <c r="L29" s="158"/>
      <c r="M29" s="158"/>
      <c r="N29" s="159"/>
      <c r="O29" s="160"/>
      <c r="P29" s="222" t="s">
        <v>49</v>
      </c>
      <c r="Q29" s="223"/>
      <c r="R29" s="154" t="s">
        <v>166</v>
      </c>
      <c r="S29" s="109"/>
      <c r="T29" s="65"/>
      <c r="U29" s="66"/>
    </row>
    <row r="30" spans="1:21" ht="44.25" customHeight="1" x14ac:dyDescent="0.25">
      <c r="A30" s="125">
        <v>14</v>
      </c>
      <c r="B30" s="85" t="s">
        <v>69</v>
      </c>
      <c r="C30" s="60">
        <v>125</v>
      </c>
      <c r="D30" s="61">
        <f>C30-0.05</f>
        <v>124.95</v>
      </c>
      <c r="E30" s="62">
        <f>C30+0.05</f>
        <v>125.05</v>
      </c>
      <c r="F30" s="157"/>
      <c r="G30" s="158"/>
      <c r="H30" s="158"/>
      <c r="I30" s="158"/>
      <c r="J30" s="158"/>
      <c r="K30" s="158"/>
      <c r="L30" s="158"/>
      <c r="M30" s="158"/>
      <c r="N30" s="159"/>
      <c r="O30" s="160"/>
      <c r="P30" s="222" t="s">
        <v>50</v>
      </c>
      <c r="Q30" s="223"/>
      <c r="R30" s="154" t="s">
        <v>171</v>
      </c>
      <c r="S30" s="109"/>
      <c r="T30" s="65"/>
      <c r="U30" s="66"/>
    </row>
    <row r="31" spans="1:21" ht="44.25" customHeight="1" x14ac:dyDescent="0.25">
      <c r="A31" s="125">
        <v>15</v>
      </c>
      <c r="B31" s="85" t="s">
        <v>69</v>
      </c>
      <c r="C31" s="60">
        <v>10</v>
      </c>
      <c r="D31" s="61">
        <f t="shared" si="1"/>
        <v>9.8000000000000007</v>
      </c>
      <c r="E31" s="62">
        <f t="shared" si="2"/>
        <v>10.199999999999999</v>
      </c>
      <c r="F31" s="157"/>
      <c r="G31" s="158"/>
      <c r="H31" s="158"/>
      <c r="I31" s="158"/>
      <c r="J31" s="158"/>
      <c r="K31" s="158"/>
      <c r="L31" s="158"/>
      <c r="M31" s="158"/>
      <c r="N31" s="159"/>
      <c r="O31" s="160"/>
      <c r="P31" s="222" t="s">
        <v>49</v>
      </c>
      <c r="Q31" s="223"/>
      <c r="R31" s="154" t="s">
        <v>166</v>
      </c>
      <c r="S31" s="109"/>
      <c r="T31" s="65"/>
      <c r="U31" s="66"/>
    </row>
    <row r="32" spans="1:21" ht="44.25" customHeight="1" x14ac:dyDescent="0.25">
      <c r="A32" s="124">
        <f>A31+1</f>
        <v>16</v>
      </c>
      <c r="B32" s="84" t="s">
        <v>69</v>
      </c>
      <c r="C32" s="60">
        <v>10</v>
      </c>
      <c r="D32" s="61">
        <f t="shared" si="1"/>
        <v>9.8000000000000007</v>
      </c>
      <c r="E32" s="62">
        <f t="shared" si="2"/>
        <v>10.199999999999999</v>
      </c>
      <c r="F32" s="157"/>
      <c r="G32" s="158"/>
      <c r="H32" s="158"/>
      <c r="I32" s="158"/>
      <c r="J32" s="158"/>
      <c r="K32" s="158"/>
      <c r="L32" s="158"/>
      <c r="M32" s="158"/>
      <c r="N32" s="159"/>
      <c r="O32" s="160"/>
      <c r="P32" s="222" t="s">
        <v>49</v>
      </c>
      <c r="Q32" s="223"/>
      <c r="R32" s="154" t="s">
        <v>166</v>
      </c>
      <c r="S32" s="109"/>
      <c r="T32" s="65"/>
      <c r="U32" s="66"/>
    </row>
    <row r="33" spans="1:21" ht="44.25" customHeight="1" x14ac:dyDescent="0.25">
      <c r="A33" s="241">
        <f t="shared" si="0"/>
        <v>17</v>
      </c>
      <c r="B33" s="84" t="s">
        <v>75</v>
      </c>
      <c r="C33" s="94">
        <v>12</v>
      </c>
      <c r="D33" s="89">
        <f>C33-0.011</f>
        <v>11.989000000000001</v>
      </c>
      <c r="E33" s="90">
        <f>C33</f>
        <v>12</v>
      </c>
      <c r="F33" s="91"/>
      <c r="G33" s="92"/>
      <c r="H33" s="92"/>
      <c r="I33" s="92"/>
      <c r="J33" s="93"/>
      <c r="K33" s="93"/>
      <c r="L33" s="93"/>
      <c r="M33" s="93"/>
      <c r="N33" s="93"/>
      <c r="O33" s="111"/>
      <c r="P33" s="222" t="s">
        <v>48</v>
      </c>
      <c r="Q33" s="223"/>
      <c r="R33" s="154" t="s">
        <v>163</v>
      </c>
      <c r="S33" s="109"/>
      <c r="T33" s="65"/>
      <c r="U33" s="66"/>
    </row>
    <row r="34" spans="1:21" ht="44.25" customHeight="1" x14ac:dyDescent="0.25">
      <c r="A34" s="242"/>
      <c r="B34" s="84" t="s">
        <v>148</v>
      </c>
      <c r="C34" s="94">
        <v>0.4</v>
      </c>
      <c r="D34" s="89">
        <v>0</v>
      </c>
      <c r="E34" s="90">
        <v>0.4</v>
      </c>
      <c r="F34" s="157"/>
      <c r="G34" s="158"/>
      <c r="H34" s="158"/>
      <c r="I34" s="158"/>
      <c r="J34" s="158"/>
      <c r="K34" s="158"/>
      <c r="L34" s="158"/>
      <c r="M34" s="158"/>
      <c r="N34" s="159"/>
      <c r="O34" s="160"/>
      <c r="P34" s="222" t="s">
        <v>164</v>
      </c>
      <c r="Q34" s="223"/>
      <c r="R34" s="155" t="s">
        <v>165</v>
      </c>
      <c r="S34" s="109"/>
      <c r="T34" s="65"/>
      <c r="U34" s="66"/>
    </row>
    <row r="35" spans="1:21" ht="44.25" customHeight="1" x14ac:dyDescent="0.25">
      <c r="A35" s="124">
        <v>18</v>
      </c>
      <c r="B35" s="84" t="s">
        <v>69</v>
      </c>
      <c r="C35" s="60">
        <v>40</v>
      </c>
      <c r="D35" s="61">
        <f t="shared" si="1"/>
        <v>39.799999999999997</v>
      </c>
      <c r="E35" s="62">
        <f t="shared" si="2"/>
        <v>40.200000000000003</v>
      </c>
      <c r="F35" s="161"/>
      <c r="G35" s="162"/>
      <c r="H35" s="162"/>
      <c r="I35" s="162"/>
      <c r="J35" s="163"/>
      <c r="K35" s="163"/>
      <c r="L35" s="163"/>
      <c r="M35" s="163"/>
      <c r="N35" s="163"/>
      <c r="O35" s="164"/>
      <c r="P35" s="222" t="s">
        <v>49</v>
      </c>
      <c r="Q35" s="223"/>
      <c r="R35" s="154" t="s">
        <v>166</v>
      </c>
      <c r="S35" s="109"/>
      <c r="T35" s="65"/>
      <c r="U35" s="66"/>
    </row>
    <row r="36" spans="1:21" ht="44.25" customHeight="1" x14ac:dyDescent="0.25">
      <c r="A36" s="126">
        <v>101</v>
      </c>
      <c r="B36" s="119" t="s">
        <v>69</v>
      </c>
      <c r="C36" s="120">
        <v>13</v>
      </c>
      <c r="D36" s="87">
        <f>C36-0.2</f>
        <v>12.8</v>
      </c>
      <c r="E36" s="88">
        <f>C36+0.2</f>
        <v>13.2</v>
      </c>
      <c r="F36" s="157"/>
      <c r="G36" s="158"/>
      <c r="H36" s="158"/>
      <c r="I36" s="158"/>
      <c r="J36" s="158"/>
      <c r="K36" s="158"/>
      <c r="L36" s="158"/>
      <c r="M36" s="158"/>
      <c r="N36" s="158"/>
      <c r="O36" s="160"/>
      <c r="P36" s="222" t="s">
        <v>168</v>
      </c>
      <c r="Q36" s="223"/>
      <c r="R36" s="154" t="s">
        <v>172</v>
      </c>
      <c r="S36" s="109"/>
      <c r="T36" s="65"/>
      <c r="U36" s="66"/>
    </row>
    <row r="37" spans="1:21" ht="44.25" customHeight="1" x14ac:dyDescent="0.25">
      <c r="A37" s="126" t="s">
        <v>150</v>
      </c>
      <c r="B37" s="119" t="s">
        <v>69</v>
      </c>
      <c r="C37" s="120">
        <v>2</v>
      </c>
      <c r="D37" s="87">
        <f>C37-0.1</f>
        <v>1.9</v>
      </c>
      <c r="E37" s="88">
        <f>C37+0.1</f>
        <v>2.1</v>
      </c>
      <c r="F37" s="157"/>
      <c r="G37" s="158"/>
      <c r="H37" s="158"/>
      <c r="I37" s="158"/>
      <c r="J37" s="158"/>
      <c r="K37" s="158"/>
      <c r="L37" s="158"/>
      <c r="M37" s="158"/>
      <c r="N37" s="159"/>
      <c r="O37" s="160"/>
      <c r="P37" s="222" t="s">
        <v>168</v>
      </c>
      <c r="Q37" s="223"/>
      <c r="R37" s="154" t="s">
        <v>172</v>
      </c>
      <c r="S37" s="109"/>
      <c r="T37" s="65"/>
      <c r="U37" s="66"/>
    </row>
    <row r="38" spans="1:21" ht="44.25" customHeight="1" x14ac:dyDescent="0.25">
      <c r="A38" s="126" t="s">
        <v>151</v>
      </c>
      <c r="B38" s="119" t="s">
        <v>152</v>
      </c>
      <c r="C38" s="120">
        <v>25</v>
      </c>
      <c r="D38" s="87">
        <f>C38-1</f>
        <v>24</v>
      </c>
      <c r="E38" s="88">
        <f>C38+1</f>
        <v>26</v>
      </c>
      <c r="F38" s="157"/>
      <c r="G38" s="158"/>
      <c r="H38" s="158"/>
      <c r="I38" s="158"/>
      <c r="J38" s="158"/>
      <c r="K38" s="158"/>
      <c r="L38" s="158"/>
      <c r="M38" s="158"/>
      <c r="N38" s="158"/>
      <c r="O38" s="160"/>
      <c r="P38" s="222" t="s">
        <v>168</v>
      </c>
      <c r="Q38" s="223"/>
      <c r="R38" s="154" t="s">
        <v>172</v>
      </c>
      <c r="S38" s="109"/>
      <c r="T38" s="65"/>
      <c r="U38" s="66"/>
    </row>
    <row r="39" spans="1:21" ht="44.25" customHeight="1" x14ac:dyDescent="0.25">
      <c r="A39" s="126">
        <v>102</v>
      </c>
      <c r="B39" s="119" t="s">
        <v>69</v>
      </c>
      <c r="C39" s="120">
        <v>23</v>
      </c>
      <c r="D39" s="87">
        <f>C39-0</f>
        <v>23</v>
      </c>
      <c r="E39" s="88">
        <f>C39+0.2</f>
        <v>23.2</v>
      </c>
      <c r="F39" s="157"/>
      <c r="G39" s="158"/>
      <c r="H39" s="158"/>
      <c r="I39" s="158"/>
      <c r="J39" s="158"/>
      <c r="K39" s="158"/>
      <c r="L39" s="158"/>
      <c r="M39" s="158"/>
      <c r="N39" s="158"/>
      <c r="O39" s="160"/>
      <c r="P39" s="222" t="s">
        <v>49</v>
      </c>
      <c r="Q39" s="223"/>
      <c r="R39" s="154" t="s">
        <v>166</v>
      </c>
      <c r="S39" s="109"/>
      <c r="T39" s="65"/>
      <c r="U39" s="66"/>
    </row>
    <row r="40" spans="1:21" ht="44.25" customHeight="1" x14ac:dyDescent="0.25">
      <c r="A40" s="127">
        <f t="shared" ref="A40:A42" si="3">A39+1</f>
        <v>103</v>
      </c>
      <c r="B40" s="84" t="s">
        <v>69</v>
      </c>
      <c r="C40" s="60">
        <v>16</v>
      </c>
      <c r="D40" s="61">
        <f>C40</f>
        <v>16</v>
      </c>
      <c r="E40" s="62">
        <f>C40+0.1</f>
        <v>16.100000000000001</v>
      </c>
      <c r="F40" s="157"/>
      <c r="G40" s="158"/>
      <c r="H40" s="158"/>
      <c r="I40" s="158"/>
      <c r="J40" s="158"/>
      <c r="K40" s="158"/>
      <c r="L40" s="158"/>
      <c r="M40" s="158"/>
      <c r="N40" s="158"/>
      <c r="O40" s="160"/>
      <c r="P40" s="222" t="s">
        <v>49</v>
      </c>
      <c r="Q40" s="223"/>
      <c r="R40" s="166" t="s">
        <v>166</v>
      </c>
      <c r="S40" s="109"/>
      <c r="T40" s="65"/>
      <c r="U40" s="66"/>
    </row>
    <row r="41" spans="1:21" ht="44.25" customHeight="1" x14ac:dyDescent="0.25">
      <c r="A41" s="127">
        <f t="shared" si="3"/>
        <v>104</v>
      </c>
      <c r="B41" s="84" t="s">
        <v>69</v>
      </c>
      <c r="C41" s="60">
        <v>5</v>
      </c>
      <c r="D41" s="89">
        <f>C41-0.05</f>
        <v>4.95</v>
      </c>
      <c r="E41" s="90">
        <f>C41+0.05</f>
        <v>5.05</v>
      </c>
      <c r="F41" s="157"/>
      <c r="G41" s="158"/>
      <c r="H41" s="158"/>
      <c r="I41" s="158"/>
      <c r="J41" s="158"/>
      <c r="K41" s="158"/>
      <c r="L41" s="158"/>
      <c r="M41" s="158"/>
      <c r="N41" s="158"/>
      <c r="O41" s="160"/>
      <c r="P41" s="222" t="s">
        <v>49</v>
      </c>
      <c r="Q41" s="223"/>
      <c r="R41" s="166" t="s">
        <v>166</v>
      </c>
      <c r="S41" s="109"/>
      <c r="T41" s="65"/>
      <c r="U41" s="66"/>
    </row>
    <row r="42" spans="1:21" ht="54" customHeight="1" x14ac:dyDescent="0.25">
      <c r="A42" s="124">
        <f t="shared" si="3"/>
        <v>105</v>
      </c>
      <c r="B42" s="84" t="s">
        <v>70</v>
      </c>
      <c r="C42" s="60">
        <v>6</v>
      </c>
      <c r="D42" s="61">
        <f>C42-0</f>
        <v>6</v>
      </c>
      <c r="E42" s="62">
        <f>C42+0.05</f>
        <v>6.05</v>
      </c>
      <c r="F42" s="161"/>
      <c r="G42" s="163"/>
      <c r="H42" s="163"/>
      <c r="I42" s="163"/>
      <c r="J42" s="163"/>
      <c r="K42" s="163"/>
      <c r="L42" s="163"/>
      <c r="M42" s="163"/>
      <c r="N42" s="162"/>
      <c r="O42" s="164"/>
      <c r="P42" s="222" t="s">
        <v>169</v>
      </c>
      <c r="Q42" s="223"/>
      <c r="R42" s="156" t="s">
        <v>170</v>
      </c>
      <c r="S42" s="109"/>
      <c r="T42" s="65"/>
      <c r="U42" s="66"/>
    </row>
    <row r="43" spans="1:21" ht="44.25" customHeight="1" x14ac:dyDescent="0.25">
      <c r="A43" s="126">
        <v>106</v>
      </c>
      <c r="B43" s="119" t="s">
        <v>69</v>
      </c>
      <c r="C43" s="120">
        <v>7.5</v>
      </c>
      <c r="D43" s="87">
        <f>C43-0.2</f>
        <v>7.3</v>
      </c>
      <c r="E43" s="88">
        <f>C43+0.2</f>
        <v>7.7</v>
      </c>
      <c r="F43" s="157"/>
      <c r="G43" s="158"/>
      <c r="H43" s="158"/>
      <c r="I43" s="158"/>
      <c r="J43" s="158"/>
      <c r="K43" s="158"/>
      <c r="L43" s="158"/>
      <c r="M43" s="158"/>
      <c r="N43" s="158"/>
      <c r="O43" s="160"/>
      <c r="P43" s="222" t="s">
        <v>49</v>
      </c>
      <c r="Q43" s="223"/>
      <c r="R43" s="154" t="s">
        <v>166</v>
      </c>
      <c r="S43" s="109"/>
      <c r="T43" s="65"/>
      <c r="U43" s="66"/>
    </row>
    <row r="44" spans="1:21" ht="44.25" customHeight="1" x14ac:dyDescent="0.25">
      <c r="A44" s="124">
        <f t="shared" ref="A44:A46" si="4">A43+1</f>
        <v>107</v>
      </c>
      <c r="B44" s="84" t="s">
        <v>69</v>
      </c>
      <c r="C44" s="60">
        <v>2</v>
      </c>
      <c r="D44" s="89">
        <f>C44-0.1</f>
        <v>1.9</v>
      </c>
      <c r="E44" s="90">
        <f>C44+0.1</f>
        <v>2.1</v>
      </c>
      <c r="F44" s="157"/>
      <c r="G44" s="158"/>
      <c r="H44" s="158"/>
      <c r="I44" s="158"/>
      <c r="J44" s="158"/>
      <c r="K44" s="158"/>
      <c r="L44" s="158"/>
      <c r="M44" s="158"/>
      <c r="N44" s="158"/>
      <c r="O44" s="164"/>
      <c r="P44" s="222" t="s">
        <v>168</v>
      </c>
      <c r="Q44" s="223"/>
      <c r="R44" s="154" t="s">
        <v>172</v>
      </c>
      <c r="S44" s="109"/>
      <c r="T44" s="65"/>
      <c r="U44" s="66"/>
    </row>
    <row r="45" spans="1:21" ht="44.25" customHeight="1" x14ac:dyDescent="0.25">
      <c r="A45" s="124">
        <f t="shared" si="4"/>
        <v>108</v>
      </c>
      <c r="B45" s="84" t="s">
        <v>70</v>
      </c>
      <c r="C45" s="60">
        <v>6</v>
      </c>
      <c r="D45" s="61">
        <f>C45-0.1</f>
        <v>5.9</v>
      </c>
      <c r="E45" s="62">
        <f>C45+0.1</f>
        <v>6.1</v>
      </c>
      <c r="F45" s="161"/>
      <c r="G45" s="163"/>
      <c r="H45" s="163"/>
      <c r="I45" s="163"/>
      <c r="J45" s="163"/>
      <c r="K45" s="163"/>
      <c r="L45" s="163"/>
      <c r="M45" s="163"/>
      <c r="N45" s="162"/>
      <c r="O45" s="164"/>
      <c r="P45" s="222" t="s">
        <v>169</v>
      </c>
      <c r="Q45" s="223"/>
      <c r="R45" s="156" t="s">
        <v>170</v>
      </c>
      <c r="S45" s="109"/>
      <c r="T45" s="65"/>
      <c r="U45" s="66"/>
    </row>
    <row r="46" spans="1:21" ht="44.25" customHeight="1" x14ac:dyDescent="0.25">
      <c r="A46" s="127">
        <f t="shared" si="4"/>
        <v>109</v>
      </c>
      <c r="B46" s="131" t="s">
        <v>76</v>
      </c>
      <c r="C46" s="60">
        <v>2</v>
      </c>
      <c r="D46" s="61">
        <f>C46-0.02</f>
        <v>1.98</v>
      </c>
      <c r="E46" s="62">
        <f>C46+0.02</f>
        <v>2.02</v>
      </c>
      <c r="F46" s="161"/>
      <c r="G46" s="163"/>
      <c r="H46" s="163"/>
      <c r="I46" s="163"/>
      <c r="J46" s="163"/>
      <c r="K46" s="163"/>
      <c r="L46" s="163"/>
      <c r="M46" s="163"/>
      <c r="N46" s="162"/>
      <c r="O46" s="164"/>
      <c r="P46" s="222" t="s">
        <v>173</v>
      </c>
      <c r="Q46" s="223"/>
      <c r="R46" s="167" t="s">
        <v>165</v>
      </c>
      <c r="S46" s="63"/>
      <c r="T46" s="65"/>
      <c r="U46" s="66"/>
    </row>
    <row r="47" spans="1:21" ht="44.25" customHeight="1" x14ac:dyDescent="0.25">
      <c r="A47" s="243">
        <v>110</v>
      </c>
      <c r="B47" s="132" t="s">
        <v>69</v>
      </c>
      <c r="C47" s="131">
        <v>4.3099999999999996</v>
      </c>
      <c r="D47" s="61">
        <f>C47-0.1</f>
        <v>4.21</v>
      </c>
      <c r="E47" s="62">
        <f>C47+0.1</f>
        <v>4.4099999999999993</v>
      </c>
      <c r="F47" s="161"/>
      <c r="G47" s="163"/>
      <c r="H47" s="163"/>
      <c r="I47" s="163"/>
      <c r="J47" s="163"/>
      <c r="K47" s="163"/>
      <c r="L47" s="163"/>
      <c r="M47" s="163"/>
      <c r="N47" s="162"/>
      <c r="O47" s="164"/>
      <c r="P47" s="222" t="s">
        <v>168</v>
      </c>
      <c r="Q47" s="223"/>
      <c r="R47" s="154" t="s">
        <v>172</v>
      </c>
      <c r="S47" s="63"/>
      <c r="T47" s="65"/>
      <c r="U47" s="66"/>
    </row>
    <row r="48" spans="1:21" ht="44.25" customHeight="1" x14ac:dyDescent="0.25">
      <c r="A48" s="244"/>
      <c r="B48" s="132" t="s">
        <v>153</v>
      </c>
      <c r="C48" s="131">
        <v>5.6</v>
      </c>
      <c r="D48" s="134"/>
      <c r="E48" s="135"/>
      <c r="F48" s="161"/>
      <c r="G48" s="162"/>
      <c r="H48" s="162"/>
      <c r="I48" s="162"/>
      <c r="J48" s="162"/>
      <c r="K48" s="162"/>
      <c r="L48" s="162"/>
      <c r="M48" s="162"/>
      <c r="N48" s="162"/>
      <c r="O48" s="164"/>
      <c r="P48" s="222" t="s">
        <v>49</v>
      </c>
      <c r="Q48" s="223"/>
      <c r="R48" s="166" t="s">
        <v>166</v>
      </c>
      <c r="S48" s="63"/>
      <c r="T48" s="65"/>
      <c r="U48" s="66"/>
    </row>
    <row r="49" spans="1:21" ht="44.25" customHeight="1" x14ac:dyDescent="0.25">
      <c r="A49" s="74">
        <v>112</v>
      </c>
      <c r="B49" s="245" t="s">
        <v>79</v>
      </c>
      <c r="C49" s="246"/>
      <c r="D49" s="101"/>
      <c r="E49" s="102"/>
      <c r="F49" s="63"/>
      <c r="G49" s="108"/>
      <c r="H49" s="108"/>
      <c r="I49" s="108"/>
      <c r="J49" s="108"/>
      <c r="K49" s="108"/>
      <c r="L49" s="108"/>
      <c r="M49" s="108"/>
      <c r="N49" s="108"/>
      <c r="O49" s="65"/>
      <c r="P49" s="222" t="s">
        <v>164</v>
      </c>
      <c r="Q49" s="223"/>
      <c r="R49" s="172" t="s">
        <v>165</v>
      </c>
      <c r="S49" s="63"/>
      <c r="T49" s="65"/>
      <c r="U49" s="66"/>
    </row>
    <row r="50" spans="1:21" ht="44.25" customHeight="1" thickBot="1" x14ac:dyDescent="0.3">
      <c r="A50" s="77">
        <v>111</v>
      </c>
      <c r="B50" s="236" t="s">
        <v>77</v>
      </c>
      <c r="C50" s="237"/>
      <c r="D50" s="104"/>
      <c r="E50" s="105"/>
      <c r="F50" s="69"/>
      <c r="G50" s="70"/>
      <c r="H50" s="70"/>
      <c r="I50" s="70"/>
      <c r="J50" s="70"/>
      <c r="K50" s="70"/>
      <c r="L50" s="70"/>
      <c r="M50" s="70"/>
      <c r="N50" s="70"/>
      <c r="O50" s="98"/>
      <c r="P50" s="234" t="s">
        <v>164</v>
      </c>
      <c r="Q50" s="235"/>
      <c r="R50" s="173" t="s">
        <v>165</v>
      </c>
      <c r="S50" s="69"/>
      <c r="T50" s="98"/>
      <c r="U50" s="72"/>
    </row>
    <row r="51" spans="1:21" ht="30" customHeight="1" thickBot="1" x14ac:dyDescent="0.3">
      <c r="D51" s="1"/>
      <c r="E51" s="1"/>
      <c r="F51" s="95"/>
      <c r="G51" s="95"/>
    </row>
    <row r="52" spans="1:21" ht="24.6" customHeight="1" thickBot="1" x14ac:dyDescent="0.3">
      <c r="A52" s="238" t="s">
        <v>45</v>
      </c>
      <c r="B52" s="239"/>
      <c r="C52" s="239"/>
      <c r="D52" s="239"/>
      <c r="E52" s="239"/>
      <c r="F52" s="239"/>
      <c r="G52" s="240"/>
    </row>
    <row r="53" spans="1:21" ht="37.5" customHeight="1" x14ac:dyDescent="0.25">
      <c r="A53" s="17" t="s">
        <v>23</v>
      </c>
      <c r="B53" s="18"/>
      <c r="C53" s="230"/>
      <c r="D53" s="230"/>
      <c r="E53" s="18" t="s">
        <v>24</v>
      </c>
      <c r="F53" s="230"/>
      <c r="G53" s="231"/>
    </row>
    <row r="54" spans="1:21" ht="37.5" customHeight="1" x14ac:dyDescent="0.25">
      <c r="A54" s="46" t="s">
        <v>25</v>
      </c>
      <c r="B54" s="165"/>
      <c r="C54" s="232"/>
      <c r="D54" s="233"/>
      <c r="E54" s="233"/>
      <c r="F54" s="233"/>
      <c r="G54" s="191"/>
    </row>
    <row r="55" spans="1:21" ht="31.5" customHeight="1" x14ac:dyDescent="0.25">
      <c r="A55" s="228" t="s">
        <v>26</v>
      </c>
      <c r="B55" s="81"/>
      <c r="C55" s="224"/>
      <c r="D55" s="224"/>
      <c r="E55" s="224"/>
      <c r="F55" s="224"/>
      <c r="G55" s="225"/>
    </row>
    <row r="56" spans="1:21" ht="31.5" customHeight="1" x14ac:dyDescent="0.25">
      <c r="A56" s="228"/>
      <c r="B56" s="81" t="s">
        <v>162</v>
      </c>
      <c r="C56" s="224"/>
      <c r="D56" s="224"/>
      <c r="E56" s="224"/>
      <c r="F56" s="224"/>
      <c r="G56" s="225"/>
    </row>
    <row r="57" spans="1:21" ht="31.5" customHeight="1" thickBot="1" x14ac:dyDescent="0.3">
      <c r="A57" s="229"/>
      <c r="B57" s="82"/>
      <c r="C57" s="226"/>
      <c r="D57" s="226"/>
      <c r="E57" s="226"/>
      <c r="F57" s="226"/>
      <c r="G57" s="227"/>
      <c r="U57" s="1" t="s">
        <v>71</v>
      </c>
    </row>
  </sheetData>
  <mergeCells count="83">
    <mergeCell ref="B49:C49"/>
    <mergeCell ref="P49:Q49"/>
    <mergeCell ref="M8:S10"/>
    <mergeCell ref="P34:Q34"/>
    <mergeCell ref="P37:Q37"/>
    <mergeCell ref="P38:Q38"/>
    <mergeCell ref="F8:H8"/>
    <mergeCell ref="S13:U13"/>
    <mergeCell ref="P13:R13"/>
    <mergeCell ref="P14:Q14"/>
    <mergeCell ref="P15:Q15"/>
    <mergeCell ref="P26:Q26"/>
    <mergeCell ref="P16:Q16"/>
    <mergeCell ref="P28:Q28"/>
    <mergeCell ref="P17:Q17"/>
    <mergeCell ref="P23:Q23"/>
    <mergeCell ref="P33:Q33"/>
    <mergeCell ref="P32:Q32"/>
    <mergeCell ref="P29:Q29"/>
    <mergeCell ref="P19:Q19"/>
    <mergeCell ref="P18:Q18"/>
    <mergeCell ref="P30:Q30"/>
    <mergeCell ref="P31:Q31"/>
    <mergeCell ref="P24:Q24"/>
    <mergeCell ref="P22:Q22"/>
    <mergeCell ref="P21:Q21"/>
    <mergeCell ref="A13:E13"/>
    <mergeCell ref="A47:A48"/>
    <mergeCell ref="P36:Q36"/>
    <mergeCell ref="P39:Q39"/>
    <mergeCell ref="P43:Q43"/>
    <mergeCell ref="P44:Q44"/>
    <mergeCell ref="P45:Q45"/>
    <mergeCell ref="P46:Q46"/>
    <mergeCell ref="P40:Q40"/>
    <mergeCell ref="P41:Q41"/>
    <mergeCell ref="P42:Q42"/>
    <mergeCell ref="P48:Q48"/>
    <mergeCell ref="P47:Q47"/>
    <mergeCell ref="A16:A17"/>
    <mergeCell ref="A22:A23"/>
    <mergeCell ref="P35:Q35"/>
    <mergeCell ref="A6:J6"/>
    <mergeCell ref="M3:O3"/>
    <mergeCell ref="P20:Q20"/>
    <mergeCell ref="C55:G57"/>
    <mergeCell ref="A55:A57"/>
    <mergeCell ref="F53:G53"/>
    <mergeCell ref="C53:D53"/>
    <mergeCell ref="C54:G54"/>
    <mergeCell ref="P50:Q50"/>
    <mergeCell ref="B50:C50"/>
    <mergeCell ref="A52:G52"/>
    <mergeCell ref="A33:A34"/>
    <mergeCell ref="P27:Q27"/>
    <mergeCell ref="P25:Q25"/>
    <mergeCell ref="Q4:R4"/>
    <mergeCell ref="Q3:R3"/>
    <mergeCell ref="F7:H7"/>
    <mergeCell ref="A11:D11"/>
    <mergeCell ref="A10:D10"/>
    <mergeCell ref="A9:D9"/>
    <mergeCell ref="A8:D8"/>
    <mergeCell ref="A7:D7"/>
    <mergeCell ref="F11:H11"/>
    <mergeCell ref="F10:H10"/>
    <mergeCell ref="F9:H9"/>
    <mergeCell ref="Q1:T1"/>
    <mergeCell ref="D2:E2"/>
    <mergeCell ref="D4:E4"/>
    <mergeCell ref="G3:H3"/>
    <mergeCell ref="G2:H2"/>
    <mergeCell ref="A1:E1"/>
    <mergeCell ref="S4:T4"/>
    <mergeCell ref="S3:T3"/>
    <mergeCell ref="S2:T2"/>
    <mergeCell ref="A4:C4"/>
    <mergeCell ref="A3:C3"/>
    <mergeCell ref="A2:C2"/>
    <mergeCell ref="G4:H4"/>
    <mergeCell ref="M2:O2"/>
    <mergeCell ref="Q2:R2"/>
    <mergeCell ref="M4:O4"/>
  </mergeCells>
  <phoneticPr fontId="2" type="noConversion"/>
  <conditionalFormatting sqref="F15:O16 N17:O17 F18:O22 F24:O33 F35:O36 F38:O41 F43:O44 F51:O1000">
    <cfRule type="cellIs" dxfId="3" priority="2" operator="notBetween">
      <formula>$D$5</formula>
      <formula>$E15</formula>
    </cfRule>
  </conditionalFormatting>
  <dataValidations count="1">
    <dataValidation type="list" allowBlank="1" showInputMessage="1" showErrorMessage="1" sqref="P15:P45 P47:P48" xr:uid="{9AF76273-89B0-4395-9790-CB5542177C45}">
      <formula1>Liste_Moyens</formula1>
    </dataValidation>
  </dataValidations>
  <printOptions horizontalCentered="1" verticalCentered="1"/>
  <pageMargins left="0.35433070866141736" right="0.19685039370078741" top="0.51181102362204722" bottom="0.39370078740157483" header="0.19685039370078741" footer="0.19685039370078741"/>
  <pageSetup paperSize="9" scale="36" fitToHeight="0" orientation="landscape" r:id="rId1"/>
  <headerFooter>
    <oddHeader>&amp;L&amp;G&amp;C&amp;"-,Gras"&amp;22PROCES VERBAL DE CONTROLE D'ENTREE / RECEPTION ACCEPTANCE TEST REPORT&amp;R&amp;"-,Italique"Réf Template : 00000001-AQ-0048</oddHeader>
    <oddFooter>&amp;RPage &amp;P /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925B-1D94-4198-A93D-E2093C53C66A}">
  <sheetPr>
    <pageSetUpPr fitToPage="1"/>
  </sheetPr>
  <dimension ref="A1:U48"/>
  <sheetViews>
    <sheetView showGridLines="0" zoomScale="60" zoomScaleNormal="60" zoomScalePageLayoutView="55" workbookViewId="0">
      <selection activeCell="P3" sqref="P3"/>
    </sheetView>
  </sheetViews>
  <sheetFormatPr baseColWidth="10" defaultColWidth="18.5703125" defaultRowHeight="15" x14ac:dyDescent="0.25"/>
  <cols>
    <col min="1" max="2" width="18.5703125" style="1"/>
    <col min="3" max="3" width="20.28515625" style="1" customWidth="1"/>
    <col min="4" max="4" width="18.5703125" style="3"/>
    <col min="5" max="6" width="18.5703125" style="2"/>
    <col min="7" max="16384" width="18.5703125" style="1"/>
  </cols>
  <sheetData>
    <row r="1" spans="1:21" ht="23.25" customHeight="1" thickBot="1" x14ac:dyDescent="0.3">
      <c r="A1" s="185" t="s">
        <v>9</v>
      </c>
      <c r="B1" s="186"/>
      <c r="C1" s="186"/>
      <c r="D1" s="186"/>
      <c r="E1" s="187"/>
      <c r="F1" s="1"/>
      <c r="G1" s="185" t="s">
        <v>62</v>
      </c>
      <c r="H1" s="186"/>
      <c r="I1" s="186"/>
      <c r="J1" s="187"/>
      <c r="K1" s="114"/>
      <c r="L1" s="114"/>
      <c r="M1" s="114"/>
      <c r="N1" s="114"/>
      <c r="O1" s="114"/>
      <c r="Q1" s="252"/>
      <c r="R1" s="252"/>
      <c r="S1" s="252"/>
    </row>
    <row r="2" spans="1:21" ht="55.5" customHeight="1" x14ac:dyDescent="0.25">
      <c r="A2" s="197" t="s">
        <v>11</v>
      </c>
      <c r="B2" s="198"/>
      <c r="C2" s="199"/>
      <c r="D2" s="177" t="s">
        <v>145</v>
      </c>
      <c r="E2" s="178"/>
      <c r="F2" s="1"/>
      <c r="G2" s="183" t="s">
        <v>59</v>
      </c>
      <c r="H2" s="253"/>
      <c r="I2" s="54"/>
      <c r="J2" s="55"/>
      <c r="L2" s="255"/>
      <c r="M2" s="255"/>
      <c r="N2" s="255"/>
      <c r="O2" s="255"/>
      <c r="Q2" s="113"/>
      <c r="R2" s="254"/>
      <c r="S2" s="254"/>
    </row>
    <row r="3" spans="1:21" ht="55.5" customHeight="1" thickBot="1" x14ac:dyDescent="0.3">
      <c r="A3" s="181" t="s">
        <v>12</v>
      </c>
      <c r="B3" s="196"/>
      <c r="C3" s="182"/>
      <c r="D3" s="76" t="s">
        <v>146</v>
      </c>
      <c r="E3" s="73"/>
      <c r="F3" s="1"/>
      <c r="G3" s="193" t="s">
        <v>60</v>
      </c>
      <c r="H3" s="195"/>
      <c r="I3" s="50"/>
      <c r="J3" s="51"/>
      <c r="L3" s="255"/>
      <c r="M3" s="255"/>
      <c r="N3" s="255"/>
      <c r="O3" s="255"/>
      <c r="Q3" s="113"/>
      <c r="R3" s="254"/>
      <c r="S3" s="254"/>
    </row>
    <row r="4" spans="1:21" ht="55.5" customHeight="1" thickBot="1" x14ac:dyDescent="0.3">
      <c r="A4" s="193" t="s">
        <v>13</v>
      </c>
      <c r="B4" s="194"/>
      <c r="C4" s="195"/>
      <c r="D4" s="179" t="s">
        <v>68</v>
      </c>
      <c r="E4" s="180"/>
      <c r="F4" s="1"/>
      <c r="G4" s="256"/>
      <c r="H4" s="257"/>
      <c r="Q4" s="113"/>
      <c r="R4" s="254"/>
      <c r="S4" s="254"/>
    </row>
    <row r="5" spans="1:21" ht="17.45" customHeight="1" x14ac:dyDescent="0.25">
      <c r="D5" s="1"/>
      <c r="E5" s="1"/>
      <c r="F5" s="1"/>
    </row>
    <row r="6" spans="1:21" ht="18" customHeight="1" thickBot="1" x14ac:dyDescent="0.3">
      <c r="D6" s="1"/>
      <c r="E6" s="1"/>
      <c r="F6" s="1"/>
    </row>
    <row r="7" spans="1:21" ht="24" customHeight="1" thickBot="1" x14ac:dyDescent="0.3">
      <c r="A7" s="185" t="s">
        <v>28</v>
      </c>
      <c r="B7" s="186"/>
      <c r="C7" s="186"/>
      <c r="D7" s="186"/>
      <c r="E7" s="187"/>
      <c r="F7" s="47" t="s">
        <v>29</v>
      </c>
      <c r="G7" s="48"/>
      <c r="H7" s="48"/>
      <c r="I7" s="48"/>
      <c r="J7" s="48"/>
      <c r="K7" s="48"/>
      <c r="L7" s="48"/>
      <c r="M7" s="48"/>
      <c r="N7" s="48"/>
      <c r="O7" s="48"/>
      <c r="P7" s="185" t="s">
        <v>30</v>
      </c>
      <c r="Q7" s="186"/>
      <c r="R7" s="185" t="s">
        <v>31</v>
      </c>
      <c r="S7" s="187"/>
    </row>
    <row r="8" spans="1:21" ht="45" customHeight="1" thickBot="1" x14ac:dyDescent="0.3">
      <c r="A8" s="13" t="s">
        <v>53</v>
      </c>
      <c r="B8" s="14" t="s">
        <v>65</v>
      </c>
      <c r="C8" s="14" t="s">
        <v>54</v>
      </c>
      <c r="D8" s="15" t="s">
        <v>3</v>
      </c>
      <c r="E8" s="16" t="s">
        <v>4</v>
      </c>
      <c r="F8" s="13" t="s">
        <v>87</v>
      </c>
      <c r="G8" s="14" t="s">
        <v>88</v>
      </c>
      <c r="H8" s="14" t="s">
        <v>89</v>
      </c>
      <c r="I8" s="14" t="s">
        <v>90</v>
      </c>
      <c r="J8" s="14" t="s">
        <v>91</v>
      </c>
      <c r="K8" s="14" t="s">
        <v>92</v>
      </c>
      <c r="L8" s="14" t="s">
        <v>93</v>
      </c>
      <c r="M8" s="14" t="s">
        <v>94</v>
      </c>
      <c r="N8" s="14" t="s">
        <v>95</v>
      </c>
      <c r="O8" s="14" t="s">
        <v>96</v>
      </c>
      <c r="P8" s="248" t="s">
        <v>7</v>
      </c>
      <c r="Q8" s="249"/>
      <c r="R8" s="13" t="s">
        <v>6</v>
      </c>
      <c r="S8" s="115" t="s">
        <v>0</v>
      </c>
    </row>
    <row r="9" spans="1:21" ht="44.25" customHeight="1" x14ac:dyDescent="0.25">
      <c r="A9" s="147">
        <v>1</v>
      </c>
      <c r="B9" s="83" t="s">
        <v>69</v>
      </c>
      <c r="C9" s="75">
        <v>339</v>
      </c>
      <c r="D9" s="148">
        <f>C9-0.2</f>
        <v>338.8</v>
      </c>
      <c r="E9" s="149">
        <f>C9+0.2</f>
        <v>339.2</v>
      </c>
      <c r="F9" s="56"/>
      <c r="G9" s="57"/>
      <c r="H9" s="57"/>
      <c r="I9" s="57"/>
      <c r="J9" s="57"/>
      <c r="K9" s="57"/>
      <c r="L9" s="57"/>
      <c r="M9" s="57"/>
      <c r="N9" s="57"/>
      <c r="O9" s="118"/>
      <c r="P9" s="250"/>
      <c r="Q9" s="258"/>
      <c r="R9" s="146"/>
      <c r="S9" s="59"/>
      <c r="T9" s="150"/>
      <c r="U9" s="151"/>
    </row>
    <row r="10" spans="1:21" ht="44.25" customHeight="1" x14ac:dyDescent="0.25">
      <c r="A10" s="74" t="s">
        <v>157</v>
      </c>
      <c r="B10" s="84" t="s">
        <v>155</v>
      </c>
      <c r="C10" s="60">
        <v>7.95</v>
      </c>
      <c r="D10" s="87">
        <f>C10-0.05</f>
        <v>7.9</v>
      </c>
      <c r="E10" s="88">
        <f>C10+0.05</f>
        <v>8</v>
      </c>
      <c r="F10" s="78"/>
      <c r="G10" s="80"/>
      <c r="H10" s="80"/>
      <c r="I10" s="80"/>
      <c r="J10" s="79"/>
      <c r="K10" s="79"/>
      <c r="L10" s="79"/>
      <c r="M10" s="79"/>
      <c r="N10" s="79"/>
      <c r="O10" s="79"/>
      <c r="P10" s="222"/>
      <c r="Q10" s="223"/>
      <c r="R10" s="63"/>
      <c r="S10" s="116"/>
    </row>
    <row r="11" spans="1:21" ht="44.25" customHeight="1" x14ac:dyDescent="0.25">
      <c r="A11" s="74">
        <v>3</v>
      </c>
      <c r="B11" s="84" t="s">
        <v>156</v>
      </c>
      <c r="C11" s="60">
        <v>7</v>
      </c>
      <c r="D11" s="61">
        <f>C11</f>
        <v>7</v>
      </c>
      <c r="E11" s="62">
        <f>C11+0.1</f>
        <v>7.1</v>
      </c>
      <c r="F11" s="78"/>
      <c r="G11" s="80"/>
      <c r="H11" s="80"/>
      <c r="I11" s="80"/>
      <c r="J11" s="79"/>
      <c r="K11" s="79"/>
      <c r="L11" s="79"/>
      <c r="M11" s="79"/>
      <c r="N11" s="79"/>
      <c r="O11" s="79"/>
      <c r="P11" s="222"/>
      <c r="Q11" s="223"/>
      <c r="R11" s="63"/>
      <c r="S11" s="116"/>
    </row>
    <row r="12" spans="1:21" ht="44.25" customHeight="1" x14ac:dyDescent="0.25">
      <c r="A12" s="74" t="s">
        <v>86</v>
      </c>
      <c r="B12" s="84" t="s">
        <v>154</v>
      </c>
      <c r="C12" s="60">
        <v>8.5</v>
      </c>
      <c r="D12" s="89">
        <f>C12-0.1</f>
        <v>8.4</v>
      </c>
      <c r="E12" s="90">
        <f>C12+0.1</f>
        <v>8.6</v>
      </c>
      <c r="F12" s="91"/>
      <c r="G12" s="92"/>
      <c r="H12" s="92"/>
      <c r="I12" s="92"/>
      <c r="J12" s="93"/>
      <c r="K12" s="93"/>
      <c r="L12" s="93"/>
      <c r="M12" s="93"/>
      <c r="N12" s="93"/>
      <c r="O12" s="93"/>
      <c r="P12" s="222"/>
      <c r="Q12" s="223"/>
      <c r="R12" s="63"/>
      <c r="S12" s="116"/>
    </row>
    <row r="13" spans="1:21" ht="54" customHeight="1" x14ac:dyDescent="0.25">
      <c r="A13" s="74">
        <v>16</v>
      </c>
      <c r="B13" s="107" t="s">
        <v>158</v>
      </c>
      <c r="C13" s="60">
        <v>154</v>
      </c>
      <c r="D13" s="61">
        <f>C13-0.1</f>
        <v>153.9</v>
      </c>
      <c r="E13" s="62">
        <f>C13+0.1</f>
        <v>154.1</v>
      </c>
      <c r="F13" s="63"/>
      <c r="G13" s="108"/>
      <c r="H13" s="108"/>
      <c r="I13" s="108"/>
      <c r="J13" s="109"/>
      <c r="K13" s="109"/>
      <c r="L13" s="109"/>
      <c r="M13" s="109"/>
      <c r="N13" s="109"/>
      <c r="O13" s="109"/>
      <c r="P13" s="222"/>
      <c r="Q13" s="223"/>
      <c r="R13" s="63"/>
      <c r="S13" s="116"/>
    </row>
    <row r="14" spans="1:21" ht="54" customHeight="1" x14ac:dyDescent="0.25">
      <c r="A14" s="133">
        <v>101</v>
      </c>
      <c r="B14" s="136" t="s">
        <v>69</v>
      </c>
      <c r="C14" s="137">
        <v>13</v>
      </c>
      <c r="D14" s="138">
        <v>12.8</v>
      </c>
      <c r="E14" s="139">
        <v>13.2</v>
      </c>
      <c r="F14" s="140"/>
      <c r="G14" s="141"/>
      <c r="H14" s="141"/>
      <c r="I14" s="141"/>
      <c r="J14" s="142"/>
      <c r="K14" s="142"/>
      <c r="L14" s="142"/>
      <c r="M14" s="142"/>
      <c r="N14" s="142"/>
      <c r="O14" s="142"/>
      <c r="P14" s="143"/>
      <c r="Q14" s="85"/>
      <c r="R14" s="140"/>
      <c r="S14" s="144"/>
    </row>
    <row r="15" spans="1:21" ht="44.25" customHeight="1" thickBot="1" x14ac:dyDescent="0.3">
      <c r="A15" s="77" t="s">
        <v>151</v>
      </c>
      <c r="B15" s="86" t="s">
        <v>69</v>
      </c>
      <c r="C15" s="96">
        <v>25</v>
      </c>
      <c r="D15" s="67">
        <f>C15-1</f>
        <v>24</v>
      </c>
      <c r="E15" s="68">
        <f>C15+1</f>
        <v>26</v>
      </c>
      <c r="F15" s="69"/>
      <c r="G15" s="70"/>
      <c r="H15" s="70"/>
      <c r="I15" s="70"/>
      <c r="J15" s="70"/>
      <c r="K15" s="70"/>
      <c r="L15" s="70"/>
      <c r="M15" s="70"/>
      <c r="N15" s="70"/>
      <c r="O15" s="70"/>
      <c r="P15" s="234"/>
      <c r="Q15" s="235"/>
      <c r="R15" s="69"/>
      <c r="S15" s="117"/>
    </row>
    <row r="16" spans="1:21" ht="30" customHeight="1" x14ac:dyDescent="0.25">
      <c r="D16" s="1"/>
      <c r="E16" s="1"/>
      <c r="F16" s="1"/>
    </row>
    <row r="17" spans="1:19" ht="15.75" thickBot="1" x14ac:dyDescent="0.3"/>
    <row r="18" spans="1:19" ht="24" customHeight="1" thickBot="1" x14ac:dyDescent="0.3">
      <c r="A18" s="185" t="s">
        <v>28</v>
      </c>
      <c r="B18" s="186"/>
      <c r="C18" s="186"/>
      <c r="D18" s="186"/>
      <c r="E18" s="187"/>
      <c r="F18" s="47" t="s">
        <v>29</v>
      </c>
      <c r="G18" s="48"/>
      <c r="H18" s="48"/>
      <c r="I18" s="48"/>
      <c r="J18" s="48"/>
      <c r="K18" s="48"/>
      <c r="L18" s="48"/>
      <c r="M18" s="48"/>
      <c r="N18" s="48"/>
      <c r="O18" s="48"/>
      <c r="P18" s="185" t="s">
        <v>30</v>
      </c>
      <c r="Q18" s="186"/>
      <c r="R18" s="185" t="s">
        <v>31</v>
      </c>
      <c r="S18" s="187"/>
    </row>
    <row r="19" spans="1:19" ht="45" customHeight="1" thickBot="1" x14ac:dyDescent="0.3">
      <c r="A19" s="13" t="s">
        <v>53</v>
      </c>
      <c r="B19" s="14" t="s">
        <v>65</v>
      </c>
      <c r="C19" s="14" t="s">
        <v>54</v>
      </c>
      <c r="D19" s="15" t="s">
        <v>3</v>
      </c>
      <c r="E19" s="16" t="s">
        <v>4</v>
      </c>
      <c r="F19" s="13" t="s">
        <v>97</v>
      </c>
      <c r="G19" s="14" t="s">
        <v>98</v>
      </c>
      <c r="H19" s="14" t="s">
        <v>99</v>
      </c>
      <c r="I19" s="14" t="s">
        <v>100</v>
      </c>
      <c r="J19" s="14" t="s">
        <v>101</v>
      </c>
      <c r="K19" s="14" t="s">
        <v>102</v>
      </c>
      <c r="L19" s="14" t="s">
        <v>103</v>
      </c>
      <c r="M19" s="14" t="s">
        <v>104</v>
      </c>
      <c r="N19" s="14" t="s">
        <v>105</v>
      </c>
      <c r="O19" s="19" t="s">
        <v>106</v>
      </c>
      <c r="P19" s="248" t="s">
        <v>7</v>
      </c>
      <c r="Q19" s="249"/>
      <c r="R19" s="13" t="s">
        <v>6</v>
      </c>
      <c r="S19" s="115" t="s">
        <v>0</v>
      </c>
    </row>
    <row r="20" spans="1:19" ht="44.25" customHeight="1" x14ac:dyDescent="0.25">
      <c r="A20" s="74">
        <v>4</v>
      </c>
      <c r="B20" s="84" t="s">
        <v>159</v>
      </c>
      <c r="C20" s="60">
        <v>8</v>
      </c>
      <c r="D20" s="89">
        <f>C20-0.1</f>
        <v>7.9</v>
      </c>
      <c r="E20" s="90">
        <f>C20+0.1</f>
        <v>8.1</v>
      </c>
      <c r="F20" s="91"/>
      <c r="G20" s="92"/>
      <c r="H20" s="92"/>
      <c r="I20" s="92"/>
      <c r="J20" s="93"/>
      <c r="K20" s="93"/>
      <c r="L20" s="93"/>
      <c r="M20" s="93"/>
      <c r="N20" s="93"/>
      <c r="O20" s="111"/>
      <c r="P20" s="222"/>
      <c r="Q20" s="223"/>
      <c r="R20" s="63"/>
      <c r="S20" s="116"/>
    </row>
    <row r="21" spans="1:19" ht="44.25" customHeight="1" x14ac:dyDescent="0.25">
      <c r="A21" s="74">
        <f t="shared" ref="A21:A33" si="0">A20+1</f>
        <v>5</v>
      </c>
      <c r="B21" s="84" t="s">
        <v>70</v>
      </c>
      <c r="C21" s="60">
        <v>7</v>
      </c>
      <c r="D21" s="61">
        <f>C21-0.2</f>
        <v>6.8</v>
      </c>
      <c r="E21" s="62">
        <f>C21-0.1</f>
        <v>6.9</v>
      </c>
      <c r="F21" s="78"/>
      <c r="G21" s="80"/>
      <c r="H21" s="80"/>
      <c r="I21" s="80"/>
      <c r="J21" s="79"/>
      <c r="K21" s="79"/>
      <c r="L21" s="79"/>
      <c r="M21" s="79"/>
      <c r="N21" s="79"/>
      <c r="O21" s="110"/>
      <c r="P21" s="222"/>
      <c r="Q21" s="223"/>
      <c r="R21" s="63"/>
      <c r="S21" s="116"/>
    </row>
    <row r="22" spans="1:19" ht="44.25" customHeight="1" x14ac:dyDescent="0.25">
      <c r="A22" s="74">
        <f t="shared" si="0"/>
        <v>6</v>
      </c>
      <c r="B22" s="84" t="s">
        <v>117</v>
      </c>
      <c r="C22" s="60">
        <v>7.5</v>
      </c>
      <c r="D22" s="61">
        <f>C22-0.05</f>
        <v>7.45</v>
      </c>
      <c r="E22" s="62">
        <f>C22+0.05</f>
        <v>7.55</v>
      </c>
      <c r="F22" s="78"/>
      <c r="G22" s="80"/>
      <c r="H22" s="80"/>
      <c r="I22" s="80"/>
      <c r="J22" s="79"/>
      <c r="K22" s="79"/>
      <c r="L22" s="79"/>
      <c r="M22" s="79"/>
      <c r="N22" s="79"/>
      <c r="O22" s="110"/>
      <c r="P22" s="222"/>
      <c r="Q22" s="223"/>
      <c r="R22" s="63"/>
      <c r="S22" s="116"/>
    </row>
    <row r="23" spans="1:19" ht="44.25" customHeight="1" x14ac:dyDescent="0.25">
      <c r="A23" s="74">
        <f t="shared" si="0"/>
        <v>7</v>
      </c>
      <c r="B23" s="84" t="s">
        <v>160</v>
      </c>
      <c r="C23" s="60">
        <v>8</v>
      </c>
      <c r="D23" s="89">
        <f>C23-0.05</f>
        <v>7.95</v>
      </c>
      <c r="E23" s="90">
        <f>C23+0.05</f>
        <v>8.0500000000000007</v>
      </c>
      <c r="F23" s="91"/>
      <c r="G23" s="92"/>
      <c r="H23" s="92"/>
      <c r="I23" s="92"/>
      <c r="J23" s="93"/>
      <c r="K23" s="93"/>
      <c r="L23" s="93"/>
      <c r="M23" s="93"/>
      <c r="N23" s="93"/>
      <c r="O23" s="111"/>
      <c r="P23" s="222"/>
      <c r="Q23" s="223"/>
      <c r="R23" s="63"/>
      <c r="S23" s="116"/>
    </row>
    <row r="24" spans="1:19" ht="44.25" customHeight="1" x14ac:dyDescent="0.25">
      <c r="A24" s="74">
        <f t="shared" si="0"/>
        <v>8</v>
      </c>
      <c r="B24" s="84" t="s">
        <v>74</v>
      </c>
      <c r="C24" s="60" t="s">
        <v>161</v>
      </c>
      <c r="D24" s="61">
        <v>100</v>
      </c>
      <c r="E24" s="62">
        <v>102</v>
      </c>
      <c r="F24" s="78"/>
      <c r="G24" s="80"/>
      <c r="H24" s="80"/>
      <c r="I24" s="80"/>
      <c r="J24" s="79"/>
      <c r="K24" s="79"/>
      <c r="L24" s="79"/>
      <c r="M24" s="79"/>
      <c r="N24" s="79"/>
      <c r="O24" s="110"/>
      <c r="P24" s="222"/>
      <c r="Q24" s="223"/>
      <c r="R24" s="63"/>
      <c r="S24" s="116"/>
    </row>
    <row r="25" spans="1:19" ht="44.25" customHeight="1" x14ac:dyDescent="0.25">
      <c r="A25" s="74">
        <f t="shared" si="0"/>
        <v>9</v>
      </c>
      <c r="B25" s="84" t="s">
        <v>118</v>
      </c>
      <c r="C25" s="60">
        <v>8.6999999999999993</v>
      </c>
      <c r="D25" s="61">
        <f>C25-0.05</f>
        <v>8.6499999999999986</v>
      </c>
      <c r="E25" s="62">
        <f>C25+0.05</f>
        <v>8.75</v>
      </c>
      <c r="F25" s="78"/>
      <c r="G25" s="80"/>
      <c r="H25" s="80"/>
      <c r="I25" s="80"/>
      <c r="J25" s="79"/>
      <c r="K25" s="79"/>
      <c r="L25" s="79"/>
      <c r="M25" s="79"/>
      <c r="N25" s="79"/>
      <c r="O25" s="110"/>
      <c r="P25" s="222"/>
      <c r="Q25" s="223"/>
      <c r="R25" s="63"/>
      <c r="S25" s="116"/>
    </row>
    <row r="26" spans="1:19" ht="44.25" customHeight="1" x14ac:dyDescent="0.25">
      <c r="A26" s="74">
        <f t="shared" si="0"/>
        <v>10</v>
      </c>
      <c r="B26" s="84" t="s">
        <v>70</v>
      </c>
      <c r="C26" s="60">
        <v>8</v>
      </c>
      <c r="D26" s="61">
        <f>C26-0.1</f>
        <v>7.9</v>
      </c>
      <c r="E26" s="62">
        <f>C26+0</f>
        <v>8</v>
      </c>
      <c r="F26" s="78"/>
      <c r="G26" s="80"/>
      <c r="H26" s="80"/>
      <c r="I26" s="80"/>
      <c r="J26" s="79"/>
      <c r="K26" s="79"/>
      <c r="L26" s="79"/>
      <c r="M26" s="79"/>
      <c r="N26" s="79"/>
      <c r="O26" s="110"/>
      <c r="P26" s="222"/>
      <c r="Q26" s="223"/>
      <c r="R26" s="63"/>
      <c r="S26" s="116"/>
    </row>
    <row r="27" spans="1:19" ht="44.25" customHeight="1" x14ac:dyDescent="0.25">
      <c r="A27" s="74">
        <f t="shared" si="0"/>
        <v>11</v>
      </c>
      <c r="B27" s="84" t="s">
        <v>70</v>
      </c>
      <c r="C27" s="60">
        <v>8.3000000000000007</v>
      </c>
      <c r="D27" s="61">
        <f>C27-0.05</f>
        <v>8.25</v>
      </c>
      <c r="E27" s="62">
        <f>C27+0.05</f>
        <v>8.3500000000000014</v>
      </c>
      <c r="F27" s="78"/>
      <c r="G27" s="80"/>
      <c r="H27" s="80"/>
      <c r="I27" s="80"/>
      <c r="J27" s="79"/>
      <c r="K27" s="79"/>
      <c r="L27" s="79"/>
      <c r="M27" s="79"/>
      <c r="N27" s="79"/>
      <c r="O27" s="110"/>
      <c r="P27" s="222"/>
      <c r="Q27" s="223"/>
      <c r="R27" s="63"/>
      <c r="S27" s="116"/>
    </row>
    <row r="28" spans="1:19" ht="44.25" customHeight="1" x14ac:dyDescent="0.25">
      <c r="A28" s="74">
        <f t="shared" si="0"/>
        <v>12</v>
      </c>
      <c r="B28" s="84" t="s">
        <v>69</v>
      </c>
      <c r="C28" s="60">
        <v>66</v>
      </c>
      <c r="D28" s="61">
        <f>C28-0.05</f>
        <v>65.95</v>
      </c>
      <c r="E28" s="62">
        <f>C28+0.05</f>
        <v>66.05</v>
      </c>
      <c r="F28" s="78"/>
      <c r="G28" s="80"/>
      <c r="H28" s="80"/>
      <c r="I28" s="80"/>
      <c r="J28" s="79"/>
      <c r="K28" s="79"/>
      <c r="L28" s="79"/>
      <c r="M28" s="79"/>
      <c r="N28" s="79"/>
      <c r="O28" s="110"/>
      <c r="P28" s="222"/>
      <c r="Q28" s="223"/>
      <c r="R28" s="63"/>
      <c r="S28" s="116"/>
    </row>
    <row r="29" spans="1:19" ht="44.25" customHeight="1" x14ac:dyDescent="0.25">
      <c r="A29" s="74">
        <v>13</v>
      </c>
      <c r="B29" s="84" t="s">
        <v>69</v>
      </c>
      <c r="C29" s="60">
        <v>7</v>
      </c>
      <c r="D29" s="61">
        <f t="shared" ref="D29:D32" si="1">C29-0.2</f>
        <v>6.8</v>
      </c>
      <c r="E29" s="62">
        <f t="shared" ref="E29:E32" si="2">C29+0.2</f>
        <v>7.2</v>
      </c>
      <c r="F29" s="78"/>
      <c r="G29" s="80"/>
      <c r="H29" s="80"/>
      <c r="I29" s="80"/>
      <c r="J29" s="79"/>
      <c r="K29" s="79"/>
      <c r="L29" s="79"/>
      <c r="M29" s="79"/>
      <c r="N29" s="79"/>
      <c r="O29" s="110"/>
      <c r="P29" s="222"/>
      <c r="Q29" s="223"/>
      <c r="R29" s="63"/>
      <c r="S29" s="116"/>
    </row>
    <row r="30" spans="1:19" ht="44.25" customHeight="1" x14ac:dyDescent="0.25">
      <c r="A30" s="133">
        <v>14</v>
      </c>
      <c r="B30" s="85" t="s">
        <v>69</v>
      </c>
      <c r="C30" s="60">
        <v>125</v>
      </c>
      <c r="D30" s="61">
        <f>C30-0.05</f>
        <v>124.95</v>
      </c>
      <c r="E30" s="62">
        <f>C30+0.05</f>
        <v>125.05</v>
      </c>
      <c r="F30" s="78"/>
      <c r="G30" s="80"/>
      <c r="H30" s="80"/>
      <c r="I30" s="80"/>
      <c r="J30" s="79"/>
      <c r="K30" s="79"/>
      <c r="L30" s="79"/>
      <c r="M30" s="79"/>
      <c r="N30" s="79"/>
      <c r="O30" s="110"/>
      <c r="P30" s="222"/>
      <c r="Q30" s="223"/>
      <c r="R30" s="63"/>
      <c r="S30" s="116"/>
    </row>
    <row r="31" spans="1:19" ht="44.25" customHeight="1" x14ac:dyDescent="0.25">
      <c r="A31" s="133">
        <v>15</v>
      </c>
      <c r="B31" s="85" t="s">
        <v>69</v>
      </c>
      <c r="C31" s="60">
        <v>10</v>
      </c>
      <c r="D31" s="61">
        <f t="shared" si="1"/>
        <v>9.8000000000000007</v>
      </c>
      <c r="E31" s="62">
        <f t="shared" si="2"/>
        <v>10.199999999999999</v>
      </c>
      <c r="F31" s="78"/>
      <c r="G31" s="80"/>
      <c r="H31" s="80"/>
      <c r="I31" s="80"/>
      <c r="J31" s="79"/>
      <c r="K31" s="79"/>
      <c r="L31" s="79"/>
      <c r="M31" s="79"/>
      <c r="N31" s="79"/>
      <c r="O31" s="110"/>
      <c r="P31" s="222"/>
      <c r="Q31" s="223"/>
      <c r="R31" s="63"/>
      <c r="S31" s="116"/>
    </row>
    <row r="32" spans="1:19" ht="44.25" customHeight="1" x14ac:dyDescent="0.25">
      <c r="A32" s="74">
        <f>A31+1</f>
        <v>16</v>
      </c>
      <c r="B32" s="84" t="s">
        <v>69</v>
      </c>
      <c r="C32" s="60">
        <v>10</v>
      </c>
      <c r="D32" s="61">
        <f t="shared" si="1"/>
        <v>9.8000000000000007</v>
      </c>
      <c r="E32" s="62">
        <f t="shared" si="2"/>
        <v>10.199999999999999</v>
      </c>
      <c r="F32" s="78"/>
      <c r="G32" s="80"/>
      <c r="H32" s="80"/>
      <c r="I32" s="80"/>
      <c r="J32" s="79"/>
      <c r="K32" s="79"/>
      <c r="L32" s="79"/>
      <c r="M32" s="79"/>
      <c r="N32" s="79"/>
      <c r="O32" s="110"/>
      <c r="P32" s="222"/>
      <c r="Q32" s="223"/>
      <c r="R32" s="63"/>
      <c r="S32" s="116"/>
    </row>
    <row r="33" spans="1:19" ht="44.25" customHeight="1" x14ac:dyDescent="0.25">
      <c r="A33" s="74">
        <f t="shared" si="0"/>
        <v>17</v>
      </c>
      <c r="B33" s="84" t="s">
        <v>119</v>
      </c>
      <c r="C33" s="94">
        <v>12.3</v>
      </c>
      <c r="D33" s="89">
        <f>C33-0.05</f>
        <v>12.25</v>
      </c>
      <c r="E33" s="90">
        <f>C33+0.05</f>
        <v>12.350000000000001</v>
      </c>
      <c r="F33" s="91"/>
      <c r="G33" s="92"/>
      <c r="H33" s="92"/>
      <c r="I33" s="92"/>
      <c r="J33" s="93"/>
      <c r="K33" s="93"/>
      <c r="L33" s="93"/>
      <c r="M33" s="93"/>
      <c r="N33" s="93"/>
      <c r="O33" s="111"/>
      <c r="P33" s="222"/>
      <c r="Q33" s="223"/>
      <c r="R33" s="63"/>
      <c r="S33" s="116"/>
    </row>
    <row r="34" spans="1:19" ht="44.25" customHeight="1" thickBot="1" x14ac:dyDescent="0.3">
      <c r="A34" s="77">
        <v>18</v>
      </c>
      <c r="B34" s="86" t="s">
        <v>69</v>
      </c>
      <c r="C34" s="96">
        <v>40</v>
      </c>
      <c r="D34" s="67">
        <f>C34-0.3</f>
        <v>39.700000000000003</v>
      </c>
      <c r="E34" s="68">
        <f>C34+0.3</f>
        <v>40.299999999999997</v>
      </c>
      <c r="F34" s="69"/>
      <c r="G34" s="70"/>
      <c r="H34" s="70"/>
      <c r="I34" s="70"/>
      <c r="J34" s="97"/>
      <c r="K34" s="97"/>
      <c r="L34" s="97"/>
      <c r="M34" s="97"/>
      <c r="N34" s="97"/>
      <c r="O34" s="112"/>
      <c r="P34" s="234"/>
      <c r="Q34" s="235"/>
      <c r="R34" s="69"/>
      <c r="S34" s="117"/>
    </row>
    <row r="36" spans="1:19" ht="15.75" thickBot="1" x14ac:dyDescent="0.3"/>
    <row r="37" spans="1:19" ht="24" customHeight="1" thickBot="1" x14ac:dyDescent="0.3">
      <c r="A37" s="185" t="s">
        <v>28</v>
      </c>
      <c r="B37" s="186"/>
      <c r="C37" s="186"/>
      <c r="D37" s="186"/>
      <c r="E37" s="187"/>
      <c r="F37" s="47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185" t="s">
        <v>30</v>
      </c>
      <c r="Q37" s="186"/>
      <c r="R37" s="185" t="s">
        <v>31</v>
      </c>
      <c r="S37" s="187"/>
    </row>
    <row r="38" spans="1:19" ht="45" customHeight="1" thickBot="1" x14ac:dyDescent="0.3">
      <c r="A38" s="13" t="s">
        <v>53</v>
      </c>
      <c r="B38" s="14" t="s">
        <v>65</v>
      </c>
      <c r="C38" s="14" t="s">
        <v>54</v>
      </c>
      <c r="D38" s="15" t="s">
        <v>3</v>
      </c>
      <c r="E38" s="16" t="s">
        <v>4</v>
      </c>
      <c r="F38" s="13" t="s">
        <v>107</v>
      </c>
      <c r="G38" s="14" t="s">
        <v>108</v>
      </c>
      <c r="H38" s="14" t="s">
        <v>109</v>
      </c>
      <c r="I38" s="14" t="s">
        <v>110</v>
      </c>
      <c r="J38" s="14" t="s">
        <v>111</v>
      </c>
      <c r="K38" s="14" t="s">
        <v>112</v>
      </c>
      <c r="L38" s="14" t="s">
        <v>113</v>
      </c>
      <c r="M38" s="14" t="s">
        <v>114</v>
      </c>
      <c r="N38" s="14" t="s">
        <v>115</v>
      </c>
      <c r="O38" s="14" t="s">
        <v>116</v>
      </c>
      <c r="P38" s="248" t="s">
        <v>7</v>
      </c>
      <c r="Q38" s="249"/>
      <c r="R38" s="13" t="s">
        <v>6</v>
      </c>
      <c r="S38" s="115" t="s">
        <v>0</v>
      </c>
    </row>
    <row r="39" spans="1:19" ht="44.25" customHeight="1" x14ac:dyDescent="0.25">
      <c r="A39" s="74">
        <v>102</v>
      </c>
      <c r="B39" s="84" t="s">
        <v>69</v>
      </c>
      <c r="C39" s="60">
        <v>23</v>
      </c>
      <c r="D39" s="87">
        <f>C39-0</f>
        <v>23</v>
      </c>
      <c r="E39" s="88">
        <f>C39+0.2</f>
        <v>23.2</v>
      </c>
      <c r="F39" s="78"/>
      <c r="G39" s="80"/>
      <c r="H39" s="80"/>
      <c r="I39" s="80"/>
      <c r="J39" s="79"/>
      <c r="K39" s="79"/>
      <c r="L39" s="79"/>
      <c r="M39" s="79"/>
      <c r="N39" s="79"/>
      <c r="O39" s="79"/>
      <c r="P39" s="222"/>
      <c r="Q39" s="223"/>
      <c r="R39" s="63"/>
      <c r="S39" s="116"/>
    </row>
    <row r="40" spans="1:19" ht="54" customHeight="1" thickBot="1" x14ac:dyDescent="0.3">
      <c r="A40" s="77">
        <v>105</v>
      </c>
      <c r="B40" s="86" t="s">
        <v>70</v>
      </c>
      <c r="C40" s="96">
        <v>6</v>
      </c>
      <c r="D40" s="67">
        <f>C40-0</f>
        <v>6</v>
      </c>
      <c r="E40" s="68">
        <f>C40+0.05</f>
        <v>6.05</v>
      </c>
      <c r="F40" s="69"/>
      <c r="G40" s="70"/>
      <c r="H40" s="70"/>
      <c r="I40" s="70"/>
      <c r="J40" s="97"/>
      <c r="K40" s="97"/>
      <c r="L40" s="97"/>
      <c r="M40" s="97"/>
      <c r="N40" s="97"/>
      <c r="O40" s="97"/>
      <c r="P40" s="234"/>
      <c r="Q40" s="235"/>
      <c r="R40" s="69"/>
      <c r="S40" s="117"/>
    </row>
    <row r="42" spans="1:19" ht="15.75" thickBot="1" x14ac:dyDescent="0.3"/>
    <row r="43" spans="1:19" ht="24" customHeight="1" thickBot="1" x14ac:dyDescent="0.3">
      <c r="A43" s="185" t="s">
        <v>28</v>
      </c>
      <c r="B43" s="186"/>
      <c r="C43" s="186"/>
      <c r="D43" s="186"/>
      <c r="E43" s="187"/>
      <c r="F43" s="47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185" t="s">
        <v>30</v>
      </c>
      <c r="Q43" s="186"/>
      <c r="R43" s="185" t="s">
        <v>31</v>
      </c>
      <c r="S43" s="187"/>
    </row>
    <row r="44" spans="1:19" ht="45" customHeight="1" thickBot="1" x14ac:dyDescent="0.3">
      <c r="A44" s="13" t="s">
        <v>53</v>
      </c>
      <c r="B44" s="14" t="s">
        <v>65</v>
      </c>
      <c r="C44" s="14" t="s">
        <v>54</v>
      </c>
      <c r="D44" s="15" t="s">
        <v>3</v>
      </c>
      <c r="E44" s="16" t="s">
        <v>4</v>
      </c>
      <c r="F44" s="13" t="s">
        <v>120</v>
      </c>
      <c r="G44" s="14" t="s">
        <v>121</v>
      </c>
      <c r="H44" s="14" t="s">
        <v>122</v>
      </c>
      <c r="I44" s="14" t="s">
        <v>123</v>
      </c>
      <c r="J44" s="14" t="s">
        <v>124</v>
      </c>
      <c r="K44" s="14" t="s">
        <v>125</v>
      </c>
      <c r="L44" s="14" t="s">
        <v>126</v>
      </c>
      <c r="M44" s="14" t="s">
        <v>127</v>
      </c>
      <c r="N44" s="14" t="s">
        <v>128</v>
      </c>
      <c r="O44" s="14" t="s">
        <v>129</v>
      </c>
      <c r="P44" s="248" t="s">
        <v>7</v>
      </c>
      <c r="Q44" s="249"/>
      <c r="R44" s="13" t="s">
        <v>6</v>
      </c>
      <c r="S44" s="115" t="s">
        <v>0</v>
      </c>
    </row>
    <row r="45" spans="1:19" ht="44.25" customHeight="1" x14ac:dyDescent="0.25">
      <c r="A45" s="74">
        <v>106</v>
      </c>
      <c r="B45" s="84" t="s">
        <v>69</v>
      </c>
      <c r="C45" s="60">
        <v>7.5</v>
      </c>
      <c r="D45" s="61">
        <f>C45-0.2</f>
        <v>7.3</v>
      </c>
      <c r="E45" s="62">
        <f>C45+0.2</f>
        <v>7.7</v>
      </c>
      <c r="F45" s="78"/>
      <c r="G45" s="80"/>
      <c r="H45" s="80"/>
      <c r="I45" s="80"/>
      <c r="J45" s="79"/>
      <c r="K45" s="79"/>
      <c r="L45" s="79"/>
      <c r="M45" s="79"/>
      <c r="N45" s="79"/>
      <c r="O45" s="110"/>
      <c r="P45" s="222"/>
      <c r="Q45" s="223"/>
      <c r="R45" s="63"/>
      <c r="S45" s="116"/>
    </row>
    <row r="46" spans="1:19" ht="44.25" customHeight="1" x14ac:dyDescent="0.25">
      <c r="A46" s="74">
        <f t="shared" ref="A46:A48" si="3">A45+1</f>
        <v>107</v>
      </c>
      <c r="B46" s="84" t="s">
        <v>69</v>
      </c>
      <c r="C46" s="60">
        <v>2</v>
      </c>
      <c r="D46" s="89">
        <f>C46-0.1</f>
        <v>1.9</v>
      </c>
      <c r="E46" s="90">
        <f>C46+0.1</f>
        <v>2.1</v>
      </c>
      <c r="F46" s="91"/>
      <c r="G46" s="92"/>
      <c r="H46" s="92"/>
      <c r="I46" s="92"/>
      <c r="J46" s="93"/>
      <c r="K46" s="93"/>
      <c r="L46" s="93"/>
      <c r="M46" s="93"/>
      <c r="N46" s="93"/>
      <c r="O46" s="111"/>
      <c r="P46" s="222"/>
      <c r="Q46" s="223"/>
      <c r="R46" s="63"/>
      <c r="S46" s="116"/>
    </row>
    <row r="47" spans="1:19" ht="44.25" customHeight="1" x14ac:dyDescent="0.25">
      <c r="A47" s="74">
        <f t="shared" si="3"/>
        <v>108</v>
      </c>
      <c r="B47" s="84" t="s">
        <v>70</v>
      </c>
      <c r="C47" s="60">
        <v>6</v>
      </c>
      <c r="D47" s="61">
        <f>C47-0.1</f>
        <v>5.9</v>
      </c>
      <c r="E47" s="62">
        <f>C47+0.1</f>
        <v>6.1</v>
      </c>
      <c r="F47" s="78"/>
      <c r="G47" s="80"/>
      <c r="H47" s="80"/>
      <c r="I47" s="80"/>
      <c r="J47" s="79"/>
      <c r="K47" s="79"/>
      <c r="L47" s="79"/>
      <c r="M47" s="79"/>
      <c r="N47" s="79"/>
      <c r="O47" s="110"/>
      <c r="P47" s="222"/>
      <c r="Q47" s="223"/>
      <c r="R47" s="63"/>
      <c r="S47" s="116"/>
    </row>
    <row r="48" spans="1:19" ht="44.25" customHeight="1" thickBot="1" x14ac:dyDescent="0.3">
      <c r="A48" s="77">
        <f t="shared" si="3"/>
        <v>109</v>
      </c>
      <c r="B48" s="145" t="s">
        <v>76</v>
      </c>
      <c r="C48" s="96">
        <v>2</v>
      </c>
      <c r="D48" s="67">
        <f>C48-0.02</f>
        <v>1.98</v>
      </c>
      <c r="E48" s="68">
        <f>C48+0.02</f>
        <v>2.02</v>
      </c>
      <c r="F48" s="69"/>
      <c r="G48" s="70"/>
      <c r="H48" s="70"/>
      <c r="I48" s="70"/>
      <c r="J48" s="97"/>
      <c r="K48" s="97"/>
      <c r="L48" s="97"/>
      <c r="M48" s="97"/>
      <c r="N48" s="97"/>
      <c r="O48" s="112"/>
      <c r="P48" s="234"/>
      <c r="Q48" s="235"/>
      <c r="R48" s="69"/>
      <c r="S48" s="117"/>
    </row>
  </sheetData>
  <mergeCells count="58">
    <mergeCell ref="P45:Q45"/>
    <mergeCell ref="P46:Q46"/>
    <mergeCell ref="P47:Q47"/>
    <mergeCell ref="P48:Q48"/>
    <mergeCell ref="A43:E43"/>
    <mergeCell ref="P43:Q43"/>
    <mergeCell ref="R43:S43"/>
    <mergeCell ref="P44:Q44"/>
    <mergeCell ref="P40:Q40"/>
    <mergeCell ref="A37:E37"/>
    <mergeCell ref="P37:Q37"/>
    <mergeCell ref="R37:S37"/>
    <mergeCell ref="P38:Q38"/>
    <mergeCell ref="P39:Q39"/>
    <mergeCell ref="P15:Q15"/>
    <mergeCell ref="A18:E18"/>
    <mergeCell ref="P18:Q18"/>
    <mergeCell ref="R18:S18"/>
    <mergeCell ref="P19:Q19"/>
    <mergeCell ref="P28:Q28"/>
    <mergeCell ref="P20:Q20"/>
    <mergeCell ref="P21:Q21"/>
    <mergeCell ref="P22:Q22"/>
    <mergeCell ref="P34:Q34"/>
    <mergeCell ref="P23:Q23"/>
    <mergeCell ref="P24:Q24"/>
    <mergeCell ref="P25:Q25"/>
    <mergeCell ref="P26:Q26"/>
    <mergeCell ref="P27:Q27"/>
    <mergeCell ref="P29:Q29"/>
    <mergeCell ref="P30:Q30"/>
    <mergeCell ref="P31:Q31"/>
    <mergeCell ref="P32:Q32"/>
    <mergeCell ref="P33:Q33"/>
    <mergeCell ref="P8:Q8"/>
    <mergeCell ref="P10:Q10"/>
    <mergeCell ref="P11:Q11"/>
    <mergeCell ref="P12:Q12"/>
    <mergeCell ref="P13:Q13"/>
    <mergeCell ref="P9:Q9"/>
    <mergeCell ref="A7:E7"/>
    <mergeCell ref="P7:Q7"/>
    <mergeCell ref="A3:C3"/>
    <mergeCell ref="G3:H3"/>
    <mergeCell ref="R3:S3"/>
    <mergeCell ref="A4:C4"/>
    <mergeCell ref="D4:E4"/>
    <mergeCell ref="G4:H4"/>
    <mergeCell ref="R4:S4"/>
    <mergeCell ref="R7:S7"/>
    <mergeCell ref="A1:E1"/>
    <mergeCell ref="Q1:S1"/>
    <mergeCell ref="A2:C2"/>
    <mergeCell ref="D2:E2"/>
    <mergeCell ref="G2:H2"/>
    <mergeCell ref="R2:S2"/>
    <mergeCell ref="G1:J1"/>
    <mergeCell ref="L2:O3"/>
  </mergeCells>
  <conditionalFormatting sqref="F9:O17">
    <cfRule type="cellIs" dxfId="2" priority="1" operator="notBetween">
      <formula>$D9</formula>
      <formula>$E9</formula>
    </cfRule>
  </conditionalFormatting>
  <conditionalFormatting sqref="F20:O36 F39:O42 F45:O1003">
    <cfRule type="cellIs" dxfId="1" priority="7" operator="notBetween">
      <formula>$D20</formula>
      <formula>$E20</formula>
    </cfRule>
  </conditionalFormatting>
  <dataValidations disablePrompts="1" count="1">
    <dataValidation type="list" allowBlank="1" showInputMessage="1" showErrorMessage="1" sqref="P9:P15 P20:P34 P39:P40 P45:P48" xr:uid="{EA0CCB64-E645-470C-8220-30CD210FBE50}">
      <formula1>Liste_Moyens</formula1>
    </dataValidation>
  </dataValidations>
  <printOptions horizontalCentered="1" verticalCentered="1"/>
  <pageMargins left="0.34337121212121213" right="0.19685039370078741" top="0.51181102362204722" bottom="0.39370078740157483" header="0.19685039370078741" footer="0.19685039370078741"/>
  <pageSetup paperSize="9" scale="40" fitToHeight="0" orientation="landscape" r:id="rId1"/>
  <headerFooter>
    <oddHeader>&amp;L&amp;G&amp;C&amp;"-,Gras"&amp;22PROCES VERBAL DE CONTROLE D'ENTREE / RECEPTION ACCEPTANCE TEST REPORT&amp;R&amp;"-,Italique"Ref Template : 00000001-AQ-0048</oddHeader>
    <oddFooter>&amp;RPage &amp;P / &amp;N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5594-004F-41C9-80BD-7B3A3066BDC6}">
  <sheetPr>
    <pageSetUpPr fitToPage="1"/>
  </sheetPr>
  <dimension ref="A1:P29"/>
  <sheetViews>
    <sheetView showGridLines="0" zoomScale="60" zoomScaleNormal="60" zoomScalePageLayoutView="55" workbookViewId="0">
      <selection activeCell="G20" sqref="G20"/>
    </sheetView>
  </sheetViews>
  <sheetFormatPr baseColWidth="10" defaultColWidth="18.5703125" defaultRowHeight="15" x14ac:dyDescent="0.25"/>
  <cols>
    <col min="1" max="2" width="18.5703125" style="1"/>
    <col min="3" max="3" width="20.28515625" style="1" customWidth="1"/>
    <col min="4" max="4" width="18.5703125" style="3"/>
    <col min="5" max="6" width="18.5703125" style="2"/>
    <col min="7" max="16384" width="18.5703125" style="1"/>
  </cols>
  <sheetData>
    <row r="1" spans="1:16" ht="23.25" customHeight="1" thickBot="1" x14ac:dyDescent="0.3">
      <c r="A1" s="185" t="s">
        <v>9</v>
      </c>
      <c r="B1" s="186"/>
      <c r="C1" s="186"/>
      <c r="D1" s="186"/>
      <c r="E1" s="187"/>
      <c r="F1" s="1"/>
      <c r="G1" s="47" t="s">
        <v>10</v>
      </c>
      <c r="H1" s="48"/>
      <c r="I1" s="48"/>
      <c r="J1" s="49"/>
      <c r="L1" s="174" t="s">
        <v>62</v>
      </c>
      <c r="M1" s="175"/>
      <c r="N1" s="175"/>
      <c r="O1" s="176"/>
    </row>
    <row r="2" spans="1:16" ht="55.5" customHeight="1" x14ac:dyDescent="0.25">
      <c r="A2" s="197" t="s">
        <v>11</v>
      </c>
      <c r="B2" s="198"/>
      <c r="C2" s="199"/>
      <c r="D2" s="177" t="s">
        <v>85</v>
      </c>
      <c r="E2" s="178"/>
      <c r="F2" s="1"/>
      <c r="G2" s="183" t="s">
        <v>14</v>
      </c>
      <c r="H2" s="184"/>
      <c r="I2" s="54"/>
      <c r="J2" s="55"/>
      <c r="L2" s="197" t="s">
        <v>59</v>
      </c>
      <c r="M2" s="203"/>
      <c r="N2" s="192"/>
      <c r="O2" s="178"/>
    </row>
    <row r="3" spans="1:16" ht="55.5" customHeight="1" x14ac:dyDescent="0.25">
      <c r="A3" s="181" t="s">
        <v>12</v>
      </c>
      <c r="B3" s="196"/>
      <c r="C3" s="182"/>
      <c r="D3" s="76" t="s">
        <v>67</v>
      </c>
      <c r="E3" s="73"/>
      <c r="F3" s="1"/>
      <c r="G3" s="181" t="s">
        <v>15</v>
      </c>
      <c r="H3" s="182"/>
      <c r="I3" s="52"/>
      <c r="J3" s="53"/>
      <c r="L3" s="181" t="s">
        <v>60</v>
      </c>
      <c r="M3" s="182"/>
      <c r="N3" s="190"/>
      <c r="O3" s="191"/>
    </row>
    <row r="4" spans="1:16" ht="55.5" customHeight="1" thickBot="1" x14ac:dyDescent="0.3">
      <c r="A4" s="193" t="s">
        <v>13</v>
      </c>
      <c r="B4" s="194"/>
      <c r="C4" s="195"/>
      <c r="D4" s="179" t="s">
        <v>68</v>
      </c>
      <c r="E4" s="180"/>
      <c r="F4" s="1"/>
      <c r="G4" s="193" t="s">
        <v>16</v>
      </c>
      <c r="H4" s="195"/>
      <c r="I4" s="50"/>
      <c r="J4" s="51"/>
      <c r="L4" s="193" t="s">
        <v>17</v>
      </c>
      <c r="M4" s="195"/>
      <c r="N4" s="188"/>
      <c r="O4" s="189"/>
    </row>
    <row r="5" spans="1:16" ht="17.45" customHeight="1" thickBot="1" x14ac:dyDescent="0.3">
      <c r="D5" s="1"/>
      <c r="E5" s="1"/>
      <c r="F5" s="1"/>
    </row>
    <row r="6" spans="1:16" s="2" customFormat="1" ht="23.25" customHeight="1" x14ac:dyDescent="0.25">
      <c r="A6" s="219" t="s">
        <v>27</v>
      </c>
      <c r="B6" s="220"/>
      <c r="C6" s="220"/>
      <c r="D6" s="220"/>
      <c r="E6" s="220"/>
      <c r="F6" s="220"/>
      <c r="G6" s="220"/>
      <c r="H6" s="220"/>
      <c r="I6" s="220"/>
      <c r="J6" s="221"/>
      <c r="N6" s="20"/>
      <c r="O6" s="20"/>
      <c r="P6" s="20"/>
    </row>
    <row r="7" spans="1:16" ht="42" customHeight="1" x14ac:dyDescent="0.25">
      <c r="A7" s="212" t="s">
        <v>18</v>
      </c>
      <c r="B7" s="213"/>
      <c r="C7" s="213"/>
      <c r="D7" s="214"/>
      <c r="E7" s="4" t="s">
        <v>1</v>
      </c>
      <c r="F7" s="207" t="s">
        <v>66</v>
      </c>
      <c r="G7" s="208"/>
      <c r="H7" s="209"/>
      <c r="I7" s="10"/>
      <c r="J7" s="5"/>
      <c r="K7" s="2"/>
      <c r="L7" s="2"/>
    </row>
    <row r="8" spans="1:16" ht="42" customHeight="1" x14ac:dyDescent="0.25">
      <c r="A8" s="181" t="s">
        <v>19</v>
      </c>
      <c r="B8" s="196"/>
      <c r="C8" s="196"/>
      <c r="D8" s="211"/>
      <c r="E8" s="6" t="s">
        <v>1</v>
      </c>
      <c r="F8" s="217" t="s">
        <v>64</v>
      </c>
      <c r="G8" s="217"/>
      <c r="H8" s="218"/>
      <c r="I8" s="11"/>
      <c r="J8" s="7"/>
      <c r="K8" s="2"/>
      <c r="L8" s="2"/>
    </row>
    <row r="9" spans="1:16" ht="42" customHeight="1" x14ac:dyDescent="0.25">
      <c r="A9" s="181" t="s">
        <v>20</v>
      </c>
      <c r="B9" s="196"/>
      <c r="C9" s="196"/>
      <c r="D9" s="211"/>
      <c r="E9" s="6" t="s">
        <v>1</v>
      </c>
      <c r="F9" s="217" t="s">
        <v>2</v>
      </c>
      <c r="G9" s="217"/>
      <c r="H9" s="218"/>
      <c r="I9" s="11"/>
      <c r="J9" s="7" t="s">
        <v>5</v>
      </c>
      <c r="K9" s="2"/>
      <c r="L9" s="2"/>
    </row>
    <row r="10" spans="1:16" ht="42" customHeight="1" x14ac:dyDescent="0.25">
      <c r="A10" s="181" t="s">
        <v>21</v>
      </c>
      <c r="B10" s="196"/>
      <c r="C10" s="196"/>
      <c r="D10" s="211"/>
      <c r="E10" s="6" t="s">
        <v>1</v>
      </c>
      <c r="F10" s="217" t="s">
        <v>2</v>
      </c>
      <c r="G10" s="217"/>
      <c r="H10" s="218"/>
      <c r="I10" s="11"/>
      <c r="J10" s="7" t="s">
        <v>5</v>
      </c>
      <c r="K10" s="2"/>
      <c r="L10" s="2"/>
    </row>
    <row r="11" spans="1:16" ht="42" customHeight="1" thickBot="1" x14ac:dyDescent="0.3">
      <c r="A11" s="193" t="s">
        <v>22</v>
      </c>
      <c r="B11" s="194"/>
      <c r="C11" s="194"/>
      <c r="D11" s="210"/>
      <c r="E11" s="8" t="s">
        <v>1</v>
      </c>
      <c r="F11" s="215" t="s">
        <v>2</v>
      </c>
      <c r="G11" s="215"/>
      <c r="H11" s="216"/>
      <c r="I11" s="12"/>
      <c r="J11" s="9" t="s">
        <v>5</v>
      </c>
      <c r="K11" s="2"/>
      <c r="L11" s="2"/>
    </row>
    <row r="12" spans="1:16" ht="18" customHeight="1" thickBot="1" x14ac:dyDescent="0.3">
      <c r="D12" s="1"/>
      <c r="E12" s="1"/>
      <c r="F12" s="1"/>
    </row>
    <row r="13" spans="1:16" ht="24" customHeight="1" thickBot="1" x14ac:dyDescent="0.3">
      <c r="A13" s="185" t="s">
        <v>28</v>
      </c>
      <c r="B13" s="186"/>
      <c r="C13" s="186"/>
      <c r="D13" s="186"/>
      <c r="E13" s="187"/>
      <c r="F13" s="47" t="s">
        <v>29</v>
      </c>
      <c r="G13" s="48"/>
      <c r="H13" s="48"/>
      <c r="I13" s="48"/>
      <c r="J13" s="48"/>
      <c r="K13" s="185" t="s">
        <v>30</v>
      </c>
      <c r="L13" s="186"/>
      <c r="M13" s="186"/>
      <c r="N13" s="185" t="s">
        <v>31</v>
      </c>
      <c r="O13" s="186"/>
      <c r="P13" s="187"/>
    </row>
    <row r="14" spans="1:16" ht="45" customHeight="1" thickBot="1" x14ac:dyDescent="0.3">
      <c r="A14" s="13" t="s">
        <v>53</v>
      </c>
      <c r="B14" s="14" t="s">
        <v>65</v>
      </c>
      <c r="C14" s="14" t="s">
        <v>54</v>
      </c>
      <c r="D14" s="15" t="s">
        <v>3</v>
      </c>
      <c r="E14" s="16" t="s">
        <v>4</v>
      </c>
      <c r="F14" s="13" t="s">
        <v>80</v>
      </c>
      <c r="G14" s="14" t="s">
        <v>81</v>
      </c>
      <c r="H14" s="14" t="s">
        <v>82</v>
      </c>
      <c r="I14" s="14" t="s">
        <v>83</v>
      </c>
      <c r="J14" s="14" t="s">
        <v>84</v>
      </c>
      <c r="K14" s="248" t="s">
        <v>7</v>
      </c>
      <c r="L14" s="249"/>
      <c r="M14" s="15" t="s">
        <v>8</v>
      </c>
      <c r="N14" s="13" t="s">
        <v>6</v>
      </c>
      <c r="O14" s="19" t="s">
        <v>0</v>
      </c>
      <c r="P14" s="16" t="s">
        <v>32</v>
      </c>
    </row>
    <row r="15" spans="1:16" ht="44.25" customHeight="1" x14ac:dyDescent="0.25">
      <c r="A15" s="106">
        <v>2</v>
      </c>
      <c r="B15" s="84" t="s">
        <v>69</v>
      </c>
      <c r="C15" s="60">
        <v>7.7</v>
      </c>
      <c r="D15" s="87">
        <f>C15-0.05</f>
        <v>7.65</v>
      </c>
      <c r="E15" s="88">
        <f>C15</f>
        <v>7.7</v>
      </c>
      <c r="F15" s="78"/>
      <c r="G15" s="80"/>
      <c r="H15" s="80"/>
      <c r="I15" s="80"/>
      <c r="J15" s="79"/>
      <c r="K15" s="222"/>
      <c r="L15" s="223"/>
      <c r="M15" s="64"/>
      <c r="N15" s="63"/>
      <c r="O15" s="65"/>
      <c r="P15" s="66"/>
    </row>
    <row r="16" spans="1:16" ht="44.25" customHeight="1" x14ac:dyDescent="0.25">
      <c r="A16" s="106">
        <v>4</v>
      </c>
      <c r="B16" s="84" t="s">
        <v>72</v>
      </c>
      <c r="C16" s="60">
        <v>7.63</v>
      </c>
      <c r="D16" s="89">
        <f>C16-0.022</f>
        <v>7.6079999999999997</v>
      </c>
      <c r="E16" s="90">
        <f>C16-0.013</f>
        <v>7.617</v>
      </c>
      <c r="F16" s="91"/>
      <c r="G16" s="92"/>
      <c r="H16" s="92"/>
      <c r="I16" s="92"/>
      <c r="J16" s="93"/>
      <c r="K16" s="222"/>
      <c r="L16" s="223"/>
      <c r="M16" s="64"/>
      <c r="N16" s="63"/>
      <c r="O16" s="65"/>
      <c r="P16" s="66"/>
    </row>
    <row r="17" spans="1:16" ht="44.25" customHeight="1" x14ac:dyDescent="0.25">
      <c r="A17" s="106">
        <v>7</v>
      </c>
      <c r="B17" s="84" t="s">
        <v>73</v>
      </c>
      <c r="C17" s="60">
        <v>7.62</v>
      </c>
      <c r="D17" s="89">
        <f>C17-0.015</f>
        <v>7.6050000000000004</v>
      </c>
      <c r="E17" s="90">
        <f>C17+0</f>
        <v>7.62</v>
      </c>
      <c r="F17" s="91"/>
      <c r="G17" s="92"/>
      <c r="H17" s="92"/>
      <c r="I17" s="92"/>
      <c r="J17" s="93"/>
      <c r="K17" s="222"/>
      <c r="L17" s="223"/>
      <c r="M17" s="64"/>
      <c r="N17" s="63"/>
      <c r="O17" s="65"/>
      <c r="P17" s="66"/>
    </row>
    <row r="18" spans="1:16" ht="44.25" customHeight="1" x14ac:dyDescent="0.25">
      <c r="A18" s="106">
        <v>8</v>
      </c>
      <c r="B18" s="84" t="s">
        <v>74</v>
      </c>
      <c r="C18" s="60">
        <v>100</v>
      </c>
      <c r="D18" s="61">
        <f>C18-3</f>
        <v>97</v>
      </c>
      <c r="E18" s="62">
        <f>C18+3</f>
        <v>103</v>
      </c>
      <c r="F18" s="78"/>
      <c r="G18" s="80"/>
      <c r="H18" s="80"/>
      <c r="I18" s="80"/>
      <c r="J18" s="79"/>
      <c r="K18" s="222"/>
      <c r="L18" s="223"/>
      <c r="M18" s="64"/>
      <c r="N18" s="63"/>
      <c r="O18" s="65"/>
      <c r="P18" s="66"/>
    </row>
    <row r="19" spans="1:16" ht="44.25" customHeight="1" x14ac:dyDescent="0.25">
      <c r="A19" s="106">
        <v>17</v>
      </c>
      <c r="B19" s="84" t="s">
        <v>75</v>
      </c>
      <c r="C19" s="94">
        <v>12</v>
      </c>
      <c r="D19" s="89">
        <f>C19-0.011</f>
        <v>11.989000000000001</v>
      </c>
      <c r="E19" s="90">
        <f>C19</f>
        <v>12</v>
      </c>
      <c r="F19" s="91"/>
      <c r="G19" s="92"/>
      <c r="H19" s="92"/>
      <c r="I19" s="92"/>
      <c r="J19" s="93"/>
      <c r="K19" s="222"/>
      <c r="L19" s="223"/>
      <c r="M19" s="64"/>
      <c r="N19" s="63"/>
      <c r="O19" s="65"/>
      <c r="P19" s="66"/>
    </row>
    <row r="20" spans="1:16" ht="44.25" customHeight="1" x14ac:dyDescent="0.25">
      <c r="A20" s="74">
        <v>110</v>
      </c>
      <c r="B20" s="84" t="s">
        <v>77</v>
      </c>
      <c r="C20" s="100"/>
      <c r="D20" s="101"/>
      <c r="E20" s="102"/>
      <c r="F20" s="78"/>
      <c r="G20" s="80"/>
      <c r="H20" s="80"/>
      <c r="I20" s="80"/>
      <c r="J20" s="79"/>
      <c r="K20" s="222"/>
      <c r="L20" s="223"/>
      <c r="M20" s="64"/>
      <c r="N20" s="63"/>
      <c r="O20" s="65"/>
      <c r="P20" s="66"/>
    </row>
    <row r="21" spans="1:16" ht="44.25" customHeight="1" x14ac:dyDescent="0.25">
      <c r="A21" s="74">
        <f t="shared" ref="A21" si="0">A20+1</f>
        <v>111</v>
      </c>
      <c r="B21" s="84" t="s">
        <v>78</v>
      </c>
      <c r="C21" s="100"/>
      <c r="D21" s="101"/>
      <c r="E21" s="102"/>
      <c r="F21" s="78"/>
      <c r="G21" s="80"/>
      <c r="H21" s="80"/>
      <c r="I21" s="80"/>
      <c r="J21" s="79"/>
      <c r="K21" s="222"/>
      <c r="L21" s="223"/>
      <c r="M21" s="64"/>
      <c r="N21" s="63"/>
      <c r="O21" s="65"/>
      <c r="P21" s="66"/>
    </row>
    <row r="22" spans="1:16" ht="44.25" customHeight="1" thickBot="1" x14ac:dyDescent="0.3">
      <c r="A22" s="77">
        <v>112</v>
      </c>
      <c r="B22" s="99" t="s">
        <v>79</v>
      </c>
      <c r="C22" s="103"/>
      <c r="D22" s="104"/>
      <c r="E22" s="105"/>
      <c r="F22" s="69"/>
      <c r="G22" s="70"/>
      <c r="H22" s="70"/>
      <c r="I22" s="70"/>
      <c r="J22" s="97"/>
      <c r="K22" s="234"/>
      <c r="L22" s="235"/>
      <c r="M22" s="71"/>
      <c r="N22" s="69"/>
      <c r="O22" s="98"/>
      <c r="P22" s="72"/>
    </row>
    <row r="23" spans="1:16" ht="30" customHeight="1" thickBot="1" x14ac:dyDescent="0.3">
      <c r="D23" s="1"/>
      <c r="E23" s="1"/>
      <c r="F23" s="95"/>
      <c r="G23" s="95"/>
    </row>
    <row r="24" spans="1:16" ht="24.6" customHeight="1" thickBot="1" x14ac:dyDescent="0.3">
      <c r="A24" s="238" t="s">
        <v>45</v>
      </c>
      <c r="B24" s="239"/>
      <c r="C24" s="239"/>
      <c r="D24" s="239"/>
      <c r="E24" s="239"/>
      <c r="F24" s="239"/>
      <c r="G24" s="240"/>
    </row>
    <row r="25" spans="1:16" ht="37.5" customHeight="1" x14ac:dyDescent="0.25">
      <c r="A25" s="17" t="s">
        <v>23</v>
      </c>
      <c r="B25" s="18"/>
      <c r="C25" s="230"/>
      <c r="D25" s="230"/>
      <c r="E25" s="18" t="s">
        <v>24</v>
      </c>
      <c r="F25" s="230"/>
      <c r="G25" s="231"/>
    </row>
    <row r="26" spans="1:16" ht="37.5" customHeight="1" x14ac:dyDescent="0.25">
      <c r="A26" s="46" t="s">
        <v>25</v>
      </c>
      <c r="B26" s="81"/>
      <c r="C26" s="232"/>
      <c r="D26" s="233"/>
      <c r="E26" s="233"/>
      <c r="F26" s="233"/>
      <c r="G26" s="191"/>
    </row>
    <row r="27" spans="1:16" ht="31.5" customHeight="1" x14ac:dyDescent="0.25">
      <c r="A27" s="228" t="s">
        <v>26</v>
      </c>
      <c r="B27" s="81"/>
      <c r="C27" s="224"/>
      <c r="D27" s="224"/>
      <c r="E27" s="224"/>
      <c r="F27" s="224"/>
      <c r="G27" s="225"/>
    </row>
    <row r="28" spans="1:16" ht="31.5" customHeight="1" x14ac:dyDescent="0.25">
      <c r="A28" s="228"/>
      <c r="B28" s="81"/>
      <c r="C28" s="224"/>
      <c r="D28" s="224"/>
      <c r="E28" s="224"/>
      <c r="F28" s="224"/>
      <c r="G28" s="225"/>
    </row>
    <row r="29" spans="1:16" ht="31.5" customHeight="1" thickBot="1" x14ac:dyDescent="0.3">
      <c r="A29" s="229"/>
      <c r="B29" s="82"/>
      <c r="C29" s="226"/>
      <c r="D29" s="226"/>
      <c r="E29" s="226"/>
      <c r="F29" s="226"/>
      <c r="G29" s="227"/>
    </row>
  </sheetData>
  <mergeCells count="45">
    <mergeCell ref="A27:A29"/>
    <mergeCell ref="C27:G29"/>
    <mergeCell ref="K19:L19"/>
    <mergeCell ref="A24:G24"/>
    <mergeCell ref="C25:D25"/>
    <mergeCell ref="F25:G25"/>
    <mergeCell ref="C26:G26"/>
    <mergeCell ref="K21:L21"/>
    <mergeCell ref="K22:L22"/>
    <mergeCell ref="K17:L17"/>
    <mergeCell ref="K18:L18"/>
    <mergeCell ref="K20:L20"/>
    <mergeCell ref="N13:P13"/>
    <mergeCell ref="K14:L14"/>
    <mergeCell ref="K15:L15"/>
    <mergeCell ref="K16:L16"/>
    <mergeCell ref="K13:M13"/>
    <mergeCell ref="A10:D10"/>
    <mergeCell ref="F10:H10"/>
    <mergeCell ref="A11:D11"/>
    <mergeCell ref="F11:H11"/>
    <mergeCell ref="A13:E13"/>
    <mergeCell ref="A9:D9"/>
    <mergeCell ref="F9:H9"/>
    <mergeCell ref="A3:C3"/>
    <mergeCell ref="G3:H3"/>
    <mergeCell ref="L3:M3"/>
    <mergeCell ref="A6:J6"/>
    <mergeCell ref="A7:D7"/>
    <mergeCell ref="F7:H7"/>
    <mergeCell ref="A8:D8"/>
    <mergeCell ref="F8:H8"/>
    <mergeCell ref="N3:O3"/>
    <mergeCell ref="A4:C4"/>
    <mergeCell ref="D4:E4"/>
    <mergeCell ref="G4:H4"/>
    <mergeCell ref="L4:M4"/>
    <mergeCell ref="N4:O4"/>
    <mergeCell ref="A1:E1"/>
    <mergeCell ref="L1:O1"/>
    <mergeCell ref="A2:C2"/>
    <mergeCell ref="D2:E2"/>
    <mergeCell ref="G2:H2"/>
    <mergeCell ref="L2:M2"/>
    <mergeCell ref="N2:O2"/>
  </mergeCells>
  <conditionalFormatting sqref="F15:J989">
    <cfRule type="cellIs" dxfId="0" priority="1" operator="notBetween">
      <formula>$D15</formula>
      <formula>$E15</formula>
    </cfRule>
  </conditionalFormatting>
  <dataValidations count="1">
    <dataValidation type="list" allowBlank="1" showInputMessage="1" showErrorMessage="1" sqref="K15:K22" xr:uid="{DE86D409-15D5-4BA0-B2C6-3FC7B9BC0933}">
      <formula1>Liste_Moyens</formula1>
    </dataValidation>
  </dataValidations>
  <printOptions horizontalCentered="1" verticalCentered="1"/>
  <pageMargins left="0.34337121212121213" right="0.19685039370078741" top="0.51181102362204722" bottom="0.39370078740157483" header="0.19685039370078741" footer="0.19685039370078741"/>
  <pageSetup paperSize="9" scale="51" fitToHeight="0" orientation="landscape" r:id="rId1"/>
  <headerFooter>
    <oddHeader>&amp;L&amp;G&amp;C&amp;"-,Gras"&amp;22PROCES VERBAL DE CONTROLE D'ENTREE / RECEPTION ACCEPTANCE TEST REPORT&amp;R&amp;"-,Italique"Ref Template : 00000001-AQ-0048</oddHeader>
    <oddFooter>&amp;RPage &amp;P / &amp;N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FBBC-ACD1-43C9-BD9E-AE32C64B7B81}">
  <dimension ref="A1:A5"/>
  <sheetViews>
    <sheetView workbookViewId="0">
      <selection activeCell="A6" sqref="A6"/>
    </sheetView>
  </sheetViews>
  <sheetFormatPr baseColWidth="10" defaultRowHeight="15" x14ac:dyDescent="0.25"/>
  <cols>
    <col min="1" max="1" width="18.42578125" bestFit="1" customWidth="1"/>
  </cols>
  <sheetData>
    <row r="1" spans="1:1" x14ac:dyDescent="0.25">
      <c r="A1" s="45" t="s">
        <v>47</v>
      </c>
    </row>
    <row r="2" spans="1:1" x14ac:dyDescent="0.25">
      <c r="A2" s="44" t="s">
        <v>51</v>
      </c>
    </row>
    <row r="3" spans="1:1" x14ac:dyDescent="0.25">
      <c r="A3" s="44" t="s">
        <v>48</v>
      </c>
    </row>
    <row r="4" spans="1:1" x14ac:dyDescent="0.25">
      <c r="A4" s="44" t="s">
        <v>49</v>
      </c>
    </row>
    <row r="5" spans="1:1" x14ac:dyDescent="0.25">
      <c r="A5" s="44" t="s">
        <v>50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D988-4477-48FE-9B8C-1B5C840271CB}">
  <dimension ref="A1:H14"/>
  <sheetViews>
    <sheetView zoomScale="80" zoomScaleNormal="80" workbookViewId="0">
      <selection activeCell="H13" sqref="H13"/>
    </sheetView>
  </sheetViews>
  <sheetFormatPr baseColWidth="10" defaultColWidth="11.42578125" defaultRowHeight="12.75" x14ac:dyDescent="0.25"/>
  <cols>
    <col min="1" max="1" width="18.5703125" style="24" bestFit="1" customWidth="1"/>
    <col min="2" max="2" width="10.85546875" style="24" customWidth="1"/>
    <col min="3" max="6" width="17.7109375" style="24" customWidth="1"/>
    <col min="7" max="8" width="13.7109375" style="24" customWidth="1"/>
    <col min="9" max="16384" width="11.42578125" style="24"/>
  </cols>
  <sheetData>
    <row r="1" spans="1:8" ht="21" customHeight="1" x14ac:dyDescent="0.25">
      <c r="A1" s="265"/>
      <c r="B1" s="21"/>
      <c r="C1" s="268" t="s">
        <v>42</v>
      </c>
      <c r="D1" s="269"/>
      <c r="E1" s="269"/>
      <c r="F1" s="269"/>
      <c r="G1" s="22"/>
      <c r="H1" s="23"/>
    </row>
    <row r="2" spans="1:8" ht="21" customHeight="1" x14ac:dyDescent="0.25">
      <c r="A2" s="266"/>
      <c r="B2" s="25"/>
      <c r="C2" s="270"/>
      <c r="D2" s="271"/>
      <c r="E2" s="271"/>
      <c r="F2" s="271"/>
      <c r="G2" s="26"/>
      <c r="H2" s="27"/>
    </row>
    <row r="3" spans="1:8" ht="21" customHeight="1" thickBot="1" x14ac:dyDescent="0.3">
      <c r="A3" s="267"/>
      <c r="B3" s="28"/>
      <c r="C3" s="272"/>
      <c r="D3" s="273"/>
      <c r="E3" s="273"/>
      <c r="F3" s="273"/>
      <c r="G3" s="29"/>
      <c r="H3" s="30"/>
    </row>
    <row r="4" spans="1:8" ht="13.5" thickBot="1" x14ac:dyDescent="0.3"/>
    <row r="5" spans="1:8" ht="18.75" thickBot="1" x14ac:dyDescent="0.3">
      <c r="A5" s="274" t="s">
        <v>33</v>
      </c>
      <c r="B5" s="275"/>
      <c r="C5" s="275"/>
      <c r="D5" s="275"/>
      <c r="E5" s="275"/>
      <c r="F5" s="275"/>
      <c r="G5" s="275"/>
      <c r="H5" s="276"/>
    </row>
    <row r="6" spans="1:8" ht="13.5" thickBot="1" x14ac:dyDescent="0.3"/>
    <row r="7" spans="1:8" x14ac:dyDescent="0.25">
      <c r="A7" s="31" t="s">
        <v>34</v>
      </c>
      <c r="B7" s="32" t="s">
        <v>35</v>
      </c>
      <c r="C7" s="32" t="s">
        <v>0</v>
      </c>
      <c r="D7" s="277" t="s">
        <v>36</v>
      </c>
      <c r="E7" s="277"/>
      <c r="F7" s="277"/>
      <c r="G7" s="277"/>
      <c r="H7" s="33" t="s">
        <v>37</v>
      </c>
    </row>
    <row r="8" spans="1:8" ht="45.75" customHeight="1" x14ac:dyDescent="0.25">
      <c r="A8" s="34" t="s">
        <v>46</v>
      </c>
      <c r="B8" s="35" t="s">
        <v>38</v>
      </c>
      <c r="C8" s="36">
        <v>43922</v>
      </c>
      <c r="D8" s="259" t="s">
        <v>44</v>
      </c>
      <c r="E8" s="260"/>
      <c r="F8" s="260"/>
      <c r="G8" s="261"/>
      <c r="H8" s="37" t="s">
        <v>43</v>
      </c>
    </row>
    <row r="9" spans="1:8" ht="45.75" customHeight="1" x14ac:dyDescent="0.25">
      <c r="A9" s="34" t="s">
        <v>46</v>
      </c>
      <c r="B9" s="35" t="s">
        <v>39</v>
      </c>
      <c r="C9" s="36">
        <v>44007</v>
      </c>
      <c r="D9" s="259" t="s">
        <v>52</v>
      </c>
      <c r="E9" s="260"/>
      <c r="F9" s="260"/>
      <c r="G9" s="261"/>
      <c r="H9" s="37" t="s">
        <v>40</v>
      </c>
    </row>
    <row r="10" spans="1:8" ht="45.75" customHeight="1" x14ac:dyDescent="0.25">
      <c r="A10" s="34" t="s">
        <v>46</v>
      </c>
      <c r="B10" s="35" t="s">
        <v>41</v>
      </c>
      <c r="C10" s="36">
        <v>44011</v>
      </c>
      <c r="D10" s="259" t="s">
        <v>55</v>
      </c>
      <c r="E10" s="260"/>
      <c r="F10" s="260"/>
      <c r="G10" s="261"/>
      <c r="H10" s="37" t="s">
        <v>57</v>
      </c>
    </row>
    <row r="11" spans="1:8" ht="26.25" customHeight="1" x14ac:dyDescent="0.25">
      <c r="A11" s="34" t="s">
        <v>58</v>
      </c>
      <c r="B11" s="35" t="s">
        <v>41</v>
      </c>
      <c r="C11" s="36">
        <v>44034</v>
      </c>
      <c r="D11" s="259" t="s">
        <v>56</v>
      </c>
      <c r="E11" s="260"/>
      <c r="F11" s="260"/>
      <c r="G11" s="261"/>
      <c r="H11" s="37" t="s">
        <v>40</v>
      </c>
    </row>
    <row r="12" spans="1:8" x14ac:dyDescent="0.25">
      <c r="A12" s="34" t="s">
        <v>58</v>
      </c>
      <c r="B12" s="35" t="s">
        <v>61</v>
      </c>
      <c r="C12" s="36">
        <v>44183</v>
      </c>
      <c r="D12" s="259" t="s">
        <v>63</v>
      </c>
      <c r="E12" s="260"/>
      <c r="F12" s="260"/>
      <c r="G12" s="261"/>
      <c r="H12" s="37" t="s">
        <v>57</v>
      </c>
    </row>
    <row r="13" spans="1:8" x14ac:dyDescent="0.25">
      <c r="A13" s="34"/>
      <c r="B13" s="38"/>
      <c r="C13" s="39"/>
      <c r="D13" s="259"/>
      <c r="E13" s="260"/>
      <c r="F13" s="260"/>
      <c r="G13" s="261"/>
      <c r="H13" s="40"/>
    </row>
    <row r="14" spans="1:8" ht="13.5" thickBot="1" x14ac:dyDescent="0.3">
      <c r="A14" s="41"/>
      <c r="B14" s="42"/>
      <c r="C14" s="42"/>
      <c r="D14" s="262"/>
      <c r="E14" s="263"/>
      <c r="F14" s="263"/>
      <c r="G14" s="264"/>
      <c r="H14" s="43"/>
    </row>
  </sheetData>
  <sheetProtection sheet="1" selectLockedCells="1"/>
  <mergeCells count="11">
    <mergeCell ref="D9:G9"/>
    <mergeCell ref="A1:A3"/>
    <mergeCell ref="C1:F3"/>
    <mergeCell ref="A5:H5"/>
    <mergeCell ref="D7:G7"/>
    <mergeCell ref="D8:G8"/>
    <mergeCell ref="D10:G10"/>
    <mergeCell ref="D11:G11"/>
    <mergeCell ref="D12:G12"/>
    <mergeCell ref="D13:G13"/>
    <mergeCell ref="D14:G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19</vt:i4>
      </vt:variant>
    </vt:vector>
  </HeadingPairs>
  <TitlesOfParts>
    <vt:vector size="24" baseType="lpstr">
      <vt:lpstr>PV</vt:lpstr>
      <vt:lpstr> TCN OP 1-2-3</vt:lpstr>
      <vt:lpstr>APRES RECTIF</vt:lpstr>
      <vt:lpstr>Data</vt:lpstr>
      <vt:lpstr>MD</vt:lpstr>
      <vt:lpstr>' TCN OP 1-2-3'!ART.DES</vt:lpstr>
      <vt:lpstr>'APRES RECTIF'!ART.DES</vt:lpstr>
      <vt:lpstr>ART.DES</vt:lpstr>
      <vt:lpstr>' TCN OP 1-2-3'!BF.REF</vt:lpstr>
      <vt:lpstr>'APRES RECTIF'!BF.REF</vt:lpstr>
      <vt:lpstr>BF.REF</vt:lpstr>
      <vt:lpstr>' TCN OP 1-2-3'!BF.SREF1</vt:lpstr>
      <vt:lpstr>'APRES RECTIF'!BF.SREF1</vt:lpstr>
      <vt:lpstr>BF.SREF1</vt:lpstr>
      <vt:lpstr>' TCN OP 1-2-3'!BF.SREF2</vt:lpstr>
      <vt:lpstr>'APRES RECTIF'!BF.SREF2</vt:lpstr>
      <vt:lpstr>BF.SREF2</vt:lpstr>
      <vt:lpstr>' TCN OP 1-2-3'!Impression_des_titres</vt:lpstr>
      <vt:lpstr>'APRES RECTIF'!Impression_des_titres</vt:lpstr>
      <vt:lpstr>PV!Impression_des_titres</vt:lpstr>
      <vt:lpstr>Liste_Moyens</vt:lpstr>
      <vt:lpstr>' TCN OP 1-2-3'!Zone_d_impression</vt:lpstr>
      <vt:lpstr>'APRES RECTIF'!Zone_d_impression</vt:lpstr>
      <vt:lpstr>PV!Zone_d_impression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Beauregard</dc:creator>
  <cp:lastModifiedBy>Pedro Gomes</cp:lastModifiedBy>
  <cp:lastPrinted>2022-08-25T13:17:34Z</cp:lastPrinted>
  <dcterms:created xsi:type="dcterms:W3CDTF">2017-11-07T13:18:53Z</dcterms:created>
  <dcterms:modified xsi:type="dcterms:W3CDTF">2026-03-12T12:06:30Z</dcterms:modified>
</cp:coreProperties>
</file>